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lloffice.loglab.local\files\folders\Клиентский отдел\7. Follow up (шаблоны)\"/>
    </mc:Choice>
  </mc:AlternateContent>
  <bookViews>
    <workbookView xWindow="0" yWindow="0" windowWidth="28800" windowHeight="12180"/>
  </bookViews>
  <sheets>
    <sheet name="Лист опроса" sheetId="1" r:id="rId1"/>
    <sheet name="Лист2 (2)" sheetId="4" state="hidden" r:id="rId2"/>
    <sheet name="Лист2" sheetId="2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Base">#REF!</definedName>
    <definedName name="Beg_Bal">#REF!</definedName>
    <definedName name="Clean_Data">#REF!,#REF!,#REF!,#REF!,#REF!,#REF!,#REF!,#REF!,#REF!,#REF!,#REF!,#REF!,#REF!,#REF!,#REF!,#REF!,#REF!,#REF!,#REF!</definedName>
    <definedName name="Comp1_DOX">#REF!</definedName>
    <definedName name="Comp1_name">#REF!</definedName>
    <definedName name="Comp1_WPX">#REF!</definedName>
    <definedName name="Comp1_zone">#REF!</definedName>
    <definedName name="Comp2_DOX">#REF!</definedName>
    <definedName name="Comp2_name">#REF!</definedName>
    <definedName name="Comp2_WPX">#REF!</definedName>
    <definedName name="Comp2_zone">#REF!</definedName>
    <definedName name="Comp3_DOX">#REF!</definedName>
    <definedName name="Comp3_name">#REF!</definedName>
    <definedName name="Comp3_WPX">#REF!</definedName>
    <definedName name="Comp3_zone">#REF!</definedName>
    <definedName name="Comp4_DOX">#REF!</definedName>
    <definedName name="Comp4_name">#REF!</definedName>
    <definedName name="Comp4_WPX">#REF!</definedName>
    <definedName name="Comp4_zone">#REF!</definedName>
    <definedName name="Comp5_DOX">#REF!</definedName>
    <definedName name="Comp5_name">#REF!</definedName>
    <definedName name="Comp5_WPX">#REF!</definedName>
    <definedName name="Comp5_zone">#REF!</definedName>
    <definedName name="competitors">#REF!</definedName>
    <definedName name="Consolidet_Sales_by_Customer">#REF!</definedName>
    <definedName name="Copy_values">[1]CentralPickUp!$E$7:$P$18,[1]CentralPickUp!$E$23:$P$70,[1]CentralPickUp!$E$74:$P$80,[1]CentralPickUp!$P$80,[1]CentralPickUp!$E$84:$P$179,[1]CentralPickUp!$E$183:$P$221,[1]CentralPickUp!$E$225:$P$257,[1]CentralPickUp!$E$261:$P$303</definedName>
    <definedName name="countries">#REF!</definedName>
    <definedName name="Data">#REF!</definedName>
    <definedName name="DATA_ENG">#REF!</definedName>
    <definedName name="DATA_RUS">#REF!</definedName>
    <definedName name="DATA_RUS2">#REF!</definedName>
    <definedName name="Database1">#REF!</definedName>
    <definedName name="DHL">#REF!</definedName>
    <definedName name="DHL_DOX_new">#REF!</definedName>
    <definedName name="DHL_DOX_OLD">#REF!</definedName>
    <definedName name="DHL_vs_Competitors">#REF!</definedName>
    <definedName name="DHL_WPX_new">#REF!</definedName>
    <definedName name="DHL_WPX_OLD">#REF!</definedName>
    <definedName name="dhl_wpx_old_2">#REF!</definedName>
    <definedName name="discount">#REF!</definedName>
    <definedName name="discount_percentage">#REF!</definedName>
    <definedName name="EC_Countries">#REF!</definedName>
    <definedName name="ecxrates">'[2]DOX WB'!$C$31:$G$531</definedName>
    <definedName name="EDOX_ships">#REF!</definedName>
    <definedName name="EMS">#REF!</definedName>
    <definedName name="End_Bal">#REF!</definedName>
    <definedName name="Excel_BuiltIn__FilterDatabase">#REF!</definedName>
    <definedName name="Extra_Pay">#REF!</definedName>
    <definedName name="f">'[3]new tariff'!#REF!</definedName>
    <definedName name="figaro">#REF!</definedName>
    <definedName name="finaltdd12">'[4]DOM TDD12'!#REF!</definedName>
    <definedName name="finaltdd9">'[2]adjusted tdd9 rates'!$B$26:$F$527</definedName>
    <definedName name="Full_Print">#REF!</definedName>
    <definedName name="gh">Scheduled_Payment+Extra_Payment</definedName>
    <definedName name="HEADER_ENG">#REF!</definedName>
    <definedName name="Header_Row">ROW(#REF!)</definedName>
    <definedName name="HEADER_RUS">#REF!</definedName>
    <definedName name="HEADER_RUS2">#REF!</definedName>
    <definedName name="Int">#REF!</definedName>
    <definedName name="Interest_Rate">#REF!</definedName>
    <definedName name="khg">IF(Loan_Amount*Interest_Rate*Loan_Years*Loan_Start&gt;0,1,0)</definedName>
    <definedName name="Last_Row">IF(Values_Entered,Header_Row+Number_of_Payments,Header_Row)</definedName>
    <definedName name="lh_cost">#REF!</definedName>
    <definedName name="lh_cost_DOX">#REF!</definedName>
    <definedName name="lh_cost_XPD">#REF!</definedName>
    <definedName name="lkjl">'[5]full tariffs'!$B$189:$AO$201</definedName>
    <definedName name="Loan_Amount">#REF!</definedName>
    <definedName name="Loan_Start">#REF!</definedName>
    <definedName name="Loan_Years">#REF!</definedName>
    <definedName name="margin">#REF!</definedName>
    <definedName name="new_dox_rps">#REF!</definedName>
    <definedName name="new_ecx_rps">#REF!</definedName>
    <definedName name="New_EDOX_rev">#REF!</definedName>
    <definedName name="new_margin">#REF!</definedName>
    <definedName name="new_price">#REF!</definedName>
    <definedName name="new_wpx_rps">#REF!</definedName>
    <definedName name="New_zone">#REF!</definedName>
    <definedName name="NewTariffDOX">'[6]new tariff'!$A$12:$M$24</definedName>
    <definedName name="NewTariffECX">'[3]new tariff'!#REF!</definedName>
    <definedName name="NewTariffWPX">'[3]new tariff'!#REF!</definedName>
    <definedName name="NOTES_ENG">#REF!</definedName>
    <definedName name="NOTES_RUS">#REF!</definedName>
    <definedName name="NOTES_RUS2">#REF!</definedName>
    <definedName name="Num_Pmt_Per_Year">#REF!</definedName>
    <definedName name="Number_of_Payments">MATCH(0.01,End_Bal,-1)+1</definedName>
    <definedName name="ob_cost">#REF!</definedName>
    <definedName name="odw_ships">#REF!</definedName>
    <definedName name="odw_weight">#REF!</definedName>
    <definedName name="Old_DOX_rev">#REF!</definedName>
    <definedName name="old_dox_rps">#REF!</definedName>
    <definedName name="old_ecx_rps">#REF!</definedName>
    <definedName name="old_wpx_rps">#REF!</definedName>
    <definedName name="Old_zone">#REF!</definedName>
    <definedName name="OldTariffDOX">#REF!</definedName>
    <definedName name="OldTariffECX">#REF!</definedName>
    <definedName name="OldTariffWPX">#REF!</definedName>
    <definedName name="origin_station">#REF!</definedName>
    <definedName name="Pay_Date">#REF!</definedName>
    <definedName name="Pay_Num">#REF!</definedName>
    <definedName name="Payment_Date">DATE(YEAR(Loan_Start),MONTH(Loan_Start)+Payment_Number,DAY(Loan_Start))</definedName>
    <definedName name="price">#REF!</definedName>
    <definedName name="Princ">#REF!</definedName>
    <definedName name="Print_Area_Reset">OFFSET(Full_Print,0,0,Last_Row)</definedName>
    <definedName name="Print_separate">#REF!</definedName>
    <definedName name="Products">#REF!</definedName>
    <definedName name="reviewedtdd12">'[7]DOM MidDay'!#REF!</definedName>
    <definedName name="reviewedtdd9">'[2]adjusted tdd9 rates'!$A$6:$F$23</definedName>
    <definedName name="RU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hips">#REF!</definedName>
    <definedName name="tariff">'[2]DOX WB'!$A$10:$G$28</definedName>
    <definedName name="tdd12premiums">'[2]premium grid'!$A$18:$G$30</definedName>
    <definedName name="tdd12wb">'[2]tdd12 rates'!$A$4:$F$22</definedName>
    <definedName name="tdd9premiums">'[2]premium grid'!$A$4:$G$14</definedName>
    <definedName name="tdd9wb">'[2]tdd9 rates'!$A$4:$F$21</definedName>
    <definedName name="Total_Interest">#REF!</definedName>
    <definedName name="Total_Pay">#REF!</definedName>
    <definedName name="Total_Payment">Scheduled_Payment+Extra_Payment</definedName>
    <definedName name="Values_Entered">IF(Loan_Amount*Interest_Rate*Loan_Years*Loan_Start&gt;0,1,0)</definedName>
    <definedName name="weight">#REF!</definedName>
    <definedName name="weighted_avg">#REF!</definedName>
    <definedName name="Zone">'[3]new tariff'!#REF!</definedName>
    <definedName name="Zone_Def">#REF!</definedName>
    <definedName name="zone_export">#REF!</definedName>
    <definedName name="zoning">#REF!</definedName>
    <definedName name="а">#REF!</definedName>
    <definedName name="анализ">OFFSET(Full_Print,0,0,Last_Row)</definedName>
    <definedName name="график">'[8]Опросник НОВЫЙ'!$X$7:$X$10</definedName>
    <definedName name="график2">#REF!</definedName>
    <definedName name="интеграция">'[8]Опросник НОВЫЙ'!$Z$7:$Z$9</definedName>
    <definedName name="лицензия">#REF!</definedName>
    <definedName name="март">IF(Values_Entered,Header_Row+Number_of_Payments,Header_Row)</definedName>
    <definedName name="Отсрочка_платежа_клиенту">[9]Списки!$B$1:$B$10</definedName>
    <definedName name="Первый">#REF!</definedName>
    <definedName name="пь">MATCH(0.01,End_Bal,-1)+1</definedName>
    <definedName name="Ставки">[8]I!$Q$3:$Q$33</definedName>
    <definedName name="температура">#REF!</definedName>
    <definedName name="Условия_аренды">[9]Списки!$A$1:$A$10</definedName>
    <definedName name="учет.ед.">#REF!</definedName>
    <definedName name="ф">Scheduled_Payment+Extra_Payment</definedName>
    <definedName name="Факторинг">[9]Списки!$C$1:$C$10</definedName>
    <definedName name="ц">MATCH(0.01,End_Bal,-1)+1</definedName>
    <definedName name="ы">Scheduled_Payment+Extra_Payment</definedName>
    <definedName name="январь">Scheduled_Payment+Extra_Payment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1" i="1" l="1"/>
  <c r="G122" i="1"/>
  <c r="N122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N105" i="1"/>
  <c r="G105" i="1"/>
  <c r="D79" i="1" l="1"/>
  <c r="C79" i="1"/>
  <c r="D29" i="1"/>
  <c r="C29" i="1"/>
  <c r="E29" i="1" l="1"/>
  <c r="F79" i="1"/>
  <c r="F29" i="1"/>
  <c r="G29" i="1"/>
  <c r="E79" i="1"/>
  <c r="G79" i="1"/>
  <c r="I78" i="1" l="1"/>
  <c r="I74" i="1"/>
  <c r="J78" i="1"/>
  <c r="J74" i="1"/>
  <c r="C97" i="1"/>
  <c r="G94" i="1" s="1"/>
  <c r="D97" i="1"/>
  <c r="L79" i="1" l="1"/>
  <c r="E97" i="1"/>
  <c r="I94" i="1" s="1"/>
</calcChain>
</file>

<file path=xl/comments1.xml><?xml version="1.0" encoding="utf-8"?>
<comments xmlns="http://schemas.openxmlformats.org/spreadsheetml/2006/main">
  <authors>
    <author>verag</author>
    <author>Макаров Никита</author>
    <author/>
    <author>Попов Иван А</author>
  </authors>
  <commentList>
    <comment ref="B6" authorId="0" shapeId="0">
      <text>
        <r>
          <rPr>
            <sz val="8"/>
            <color indexed="81"/>
            <rFont val="Tahoma"/>
            <family val="2"/>
            <charset val="204"/>
          </rPr>
          <t xml:space="preserve">Указать группы товаров, которые Вы планируете хранить: бытовая химия, продукты питания, бытовая техника, замороженные продукты, косметика/парфюмерия, средства гигиены и т.д.
</t>
        </r>
      </text>
    </comment>
    <comment ref="C11" authorId="1" shapeId="0">
      <text>
        <r>
          <rPr>
            <sz val="9"/>
            <color indexed="81"/>
            <rFont val="Tahoma"/>
            <family val="2"/>
            <charset val="204"/>
          </rPr>
          <t xml:space="preserve">средн
</t>
        </r>
      </text>
    </comment>
    <comment ref="D11" authorId="1" shapeId="0">
      <text>
        <r>
          <rPr>
            <sz val="9"/>
            <color indexed="81"/>
            <rFont val="Tahoma"/>
            <family val="2"/>
            <charset val="204"/>
          </rPr>
          <t>макс</t>
        </r>
      </text>
    </comment>
    <comment ref="B12" authorId="0" shapeId="0">
      <text>
        <r>
          <rPr>
            <sz val="8"/>
            <color indexed="81"/>
            <rFont val="Tahoma"/>
            <family val="2"/>
          </rPr>
          <t>Указать особые условия хранения: (температурный режим, влажность и т.д.), наличие специальных разрешений, лицензий  на хранение и т.д.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B13" authorId="2" shapeId="0">
      <text>
        <r>
          <rPr>
            <b/>
            <sz val="8"/>
            <color indexed="8"/>
            <rFont val="Tahoma"/>
            <family val="2"/>
            <charset val="204"/>
          </rPr>
          <t xml:space="preserve">Возможные варианта осуществления обмена данными:
</t>
        </r>
        <r>
          <rPr>
            <sz val="9"/>
            <color indexed="8"/>
            <rFont val="Tahoma"/>
            <family val="2"/>
            <charset val="204"/>
          </rPr>
          <t xml:space="preserve">1) Передача данных (заказ на приход, заказ на подборку, отгрузку) осуществляется через личный кабинет (доступ предоставляем))
2) Данные о предполагаемом приходе и заказ на подборку передается в полуавтоматическом режиме в виде CSV файлов в согласованном формате по электронной почте.
3) Интерфейс между WMS и ИС Клиента - подтверждение прихода, получение заказа на подборку, подтверждение собранного заказа и отгрузки товара со склада
</t>
        </r>
        <r>
          <rPr>
            <i/>
            <sz val="8"/>
            <color indexed="8"/>
            <rFont val="Tahoma"/>
            <family val="2"/>
            <charset val="204"/>
          </rPr>
          <t xml:space="preserve">
</t>
        </r>
        <r>
          <rPr>
            <b/>
            <sz val="8"/>
            <color indexed="8"/>
            <rFont val="Tahoma"/>
            <family val="2"/>
            <charset val="204"/>
          </rPr>
          <t>Необходимо указать какой вариант должен быть осуществлен</t>
        </r>
      </text>
    </comment>
    <comment ref="C65" authorId="1" shapeId="0">
      <text>
        <r>
          <rPr>
            <sz val="9"/>
            <color indexed="81"/>
            <rFont val="Tahoma"/>
            <family val="2"/>
            <charset val="204"/>
          </rPr>
          <t>Выбрать из списка</t>
        </r>
      </text>
    </comment>
    <comment ref="I84" authorId="3" shapeId="0">
      <text>
        <r>
          <rPr>
            <sz val="8"/>
            <color indexed="81"/>
            <rFont val="Tahoma"/>
            <family val="2"/>
            <charset val="204"/>
          </rPr>
          <t>для коробочной подборки</t>
        </r>
      </text>
    </comment>
    <comment ref="I86" authorId="3" shapeId="0">
      <text>
        <r>
          <rPr>
            <sz val="8"/>
            <color indexed="81"/>
            <rFont val="Tahoma"/>
            <family val="2"/>
            <charset val="204"/>
          </rPr>
          <t>для поштучной подборки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B95" authorId="0" shapeId="0">
      <text>
        <r>
          <rPr>
            <sz val="8"/>
            <color indexed="81"/>
            <rFont val="Tahoma"/>
            <family val="2"/>
          </rPr>
          <t xml:space="preserve">Указать (в процентах от общего объема отгрузки) количество товара:
- подбираемого целыми паллетами с 1 артикулом (без переборки при подборе)
- подбираемого покоробочно (бочками и т.п.)
- подбираемого индивидуальными упаковками (из коробов).
Под общим объёмом подразумевается общее кол-во ед. в заказах на отгрузку 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<sst xmlns="http://schemas.openxmlformats.org/spreadsheetml/2006/main" count="266" uniqueCount="177">
  <si>
    <t>На основании данных, занесенных Вами в опросный лист, будет произведен расчет тарифов на наши услуги и сформировано коммерческое предложение.</t>
  </si>
  <si>
    <t>Общие параметры</t>
  </si>
  <si>
    <t>Название компании</t>
  </si>
  <si>
    <t>Регион</t>
  </si>
  <si>
    <t>FEFO (first-expired-first-out) — при работе по этому принципу первым отправляется товар, срок годности которого выходит раньше.</t>
  </si>
  <si>
    <t>Тип товара</t>
  </si>
  <si>
    <t>LIFO (last-in-first-out) первым на отправку идет товар, который поступил последним. </t>
  </si>
  <si>
    <t>С какого срока требуется предоставление складских услуг?</t>
  </si>
  <si>
    <t>LEFO (last­-ended-first-­out): это означает «последним заканчивается — первым выходит».</t>
  </si>
  <si>
    <t>Предполагаемый срок действия договора?</t>
  </si>
  <si>
    <t>FPFO (first-product-first-out): «первый произведен — первый выходит». </t>
  </si>
  <si>
    <t>Кол-во наименований продукции (артикулов), которое будет обрабатываться на складе</t>
  </si>
  <si>
    <t>BBD (Best Before Day) указывает на приоритет в отгрузке — «рекомендуемый срок хранения» (Best Before Day не равно сроку годности товара (UBD, англ. Use By Date). </t>
  </si>
  <si>
    <t>Кол-во артикулов на складе, обрабатываемых за расчетный период среднее в месяц</t>
  </si>
  <si>
    <t>Максимальный и средний вес короба, кг</t>
  </si>
  <si>
    <t>Особые условия хранения</t>
  </si>
  <si>
    <t>Требуемый график работы склада</t>
  </si>
  <si>
    <t>Информация по приходящему а/т  и объему</t>
  </si>
  <si>
    <t>Тип а/т</t>
  </si>
  <si>
    <t>Кол-во а/м</t>
  </si>
  <si>
    <t>Среднее кол-во в 1 а/м:</t>
  </si>
  <si>
    <t>Размещение паллет в 2-яруса, да/нет</t>
  </si>
  <si>
    <t>монопаллета (1 артикул)</t>
  </si>
  <si>
    <r>
      <t xml:space="preserve"> "и"</t>
    </r>
    <r>
      <rPr>
        <sz val="10"/>
        <rFont val="Times New Roman"/>
        <family val="1"/>
      </rPr>
      <t xml:space="preserve">  смешанных паллет</t>
    </r>
  </si>
  <si>
    <r>
      <t>"и"</t>
    </r>
    <r>
      <rPr>
        <sz val="10"/>
        <rFont val="Times New Roman"/>
        <family val="1"/>
      </rPr>
      <t xml:space="preserve"> коробов в навал</t>
    </r>
  </si>
  <si>
    <t>среднее</t>
  </si>
  <si>
    <t>макс.</t>
  </si>
  <si>
    <t>В месяц</t>
  </si>
  <si>
    <t>до 20 т (Еврофура)</t>
  </si>
  <si>
    <t>до 10 т (Маз/Камаз)</t>
  </si>
  <si>
    <t>до 5 т (Зил/Газ)</t>
  </si>
  <si>
    <t xml:space="preserve"> до 3,5 т (Бычок)</t>
  </si>
  <si>
    <t>до 1,5 т (Газель)</t>
  </si>
  <si>
    <t>Всего:</t>
  </si>
  <si>
    <t>Тип используемой тары (поддона) , для товаров не входящих в навал</t>
  </si>
  <si>
    <t>EURO      (120 х 80)</t>
  </si>
  <si>
    <t>US        (120 х 120)</t>
  </si>
  <si>
    <t>FIN                (120 х 100)</t>
  </si>
  <si>
    <t>Прочие (в т.ч. транспортные паллеты, негабарит, слипшиты и т.п.), указать размеры</t>
  </si>
  <si>
    <t>% от общего объема</t>
  </si>
  <si>
    <t>Изменение объемов обработки в течение года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</si>
  <si>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</si>
  <si>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</si>
  <si>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</si>
  <si>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</si>
  <si>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</si>
  <si>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</si>
  <si>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</si>
  <si>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</si>
  <si>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</si>
  <si>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</si>
  <si>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</si>
  <si>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</si>
  <si>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% от среднего значения (данных в анкете)</t>
  </si>
  <si>
    <t xml:space="preserve">Изменение объемов обработки в течение месяца </t>
  </si>
  <si>
    <t>1 неделя</t>
  </si>
  <si>
    <t>2 неделя</t>
  </si>
  <si>
    <t>3 неделя</t>
  </si>
  <si>
    <t>4 неделя</t>
  </si>
  <si>
    <t>5 неделя</t>
  </si>
  <si>
    <t>Кол-во артикулов в одной машине</t>
  </si>
  <si>
    <t>максим.</t>
  </si>
  <si>
    <t>Вес одной паллеты с грузом кг</t>
  </si>
  <si>
    <t>Кол-во коробов на паллете (бочек и т.п.), ед.</t>
  </si>
  <si>
    <t xml:space="preserve"> - монопаллета</t>
  </si>
  <si>
    <t xml:space="preserve"> - смешанная паллета</t>
  </si>
  <si>
    <t>Вложение в короб шт</t>
  </si>
  <si>
    <t xml:space="preserve">Наличие серийных номеров и партий </t>
  </si>
  <si>
    <t>Наличие маркировки на коробе (да/нет), в том числе штрихкод</t>
  </si>
  <si>
    <t>Хранение груза на складе</t>
  </si>
  <si>
    <t xml:space="preserve"> - паллето места</t>
  </si>
  <si>
    <t xml:space="preserve"> - м2</t>
  </si>
  <si>
    <t xml:space="preserve"> - м3</t>
  </si>
  <si>
    <t xml:space="preserve"> - общее количество мелких ячеек разных размеров</t>
  </si>
  <si>
    <t xml:space="preserve"> - прочее (нестандартные грузы и т.д)</t>
  </si>
  <si>
    <t>Изменение объемов хранения в течение года</t>
  </si>
  <si>
    <t>в % от среднего значения</t>
  </si>
  <si>
    <t>Высоты паллет с грузом, % от общего кол-ва</t>
  </si>
  <si>
    <t>до 1,28м</t>
  </si>
  <si>
    <t xml:space="preserve"> 1,29-1,50м</t>
  </si>
  <si>
    <t>1,51-1,88м</t>
  </si>
  <si>
    <t>1,89 - 2,33м</t>
  </si>
  <si>
    <t>2,34-2,80 м</t>
  </si>
  <si>
    <t>FIN      (120 х 100)</t>
  </si>
  <si>
    <t>негабарит</t>
  </si>
  <si>
    <t xml:space="preserve"> кол-во мелких ячеек (0,6м*0,4м*0,4м)</t>
  </si>
  <si>
    <t>Метод подбора (учета) товара</t>
  </si>
  <si>
    <t>Информация по отгружаемому а/т  и объему</t>
  </si>
  <si>
    <t>Средний вход на склад в мес. (для справки)</t>
  </si>
  <si>
    <t>Усл. Пал.</t>
  </si>
  <si>
    <t>Коробов</t>
  </si>
  <si>
    <t>Средний выход со склада в мес. (для справки)</t>
  </si>
  <si>
    <t>Кол-во заказов в месяц</t>
  </si>
  <si>
    <t>Кол-во коробов (бочек и т.п.) на смеш.паллете</t>
  </si>
  <si>
    <t>ед.</t>
  </si>
  <si>
    <t xml:space="preserve">Кол-во индивидуальных упаковок в коробе </t>
  </si>
  <si>
    <t>шт</t>
  </si>
  <si>
    <t>Наличие серийных номеров и т.д. Их % от объема поступления на склад</t>
  </si>
  <si>
    <t>Среднее количество коробов в 1 строке заказа</t>
  </si>
  <si>
    <t>Среднее количество шт в 1 строке заказа</t>
  </si>
  <si>
    <t>Наличие срочных заказов</t>
  </si>
  <si>
    <t>Периодичность срочных заказов</t>
  </si>
  <si>
    <t>Объем среднего заказа</t>
  </si>
  <si>
    <t>Структура заказа на подбор</t>
  </si>
  <si>
    <t>моно паллеты (1 артикул)</t>
  </si>
  <si>
    <t>короба</t>
  </si>
  <si>
    <t>индивид. упаковки (шт. из коробов)</t>
  </si>
  <si>
    <t>Негабарит</t>
  </si>
  <si>
    <t xml:space="preserve"> % от общего кол-ва</t>
  </si>
  <si>
    <t>Структура заказа на отгрузку</t>
  </si>
  <si>
    <t>смешанные паллеты</t>
  </si>
  <si>
    <t>короба в навал</t>
  </si>
  <si>
    <t>Прочее</t>
  </si>
  <si>
    <t>Кросс-докинг</t>
  </si>
  <si>
    <t>Дополнительное вложение в короб</t>
  </si>
  <si>
    <t>Предоставление стандартного деревянного поддона Eur 120*80 для хранения</t>
  </si>
  <si>
    <t>Расформирование заказа</t>
  </si>
  <si>
    <t>Пломбирование автомобиля (пластиковая пломба)</t>
  </si>
  <si>
    <t>Аренда офиса</t>
  </si>
  <si>
    <t>Предоставление стандартного деревянного поддона Eur 120*80 для отгрузки товара</t>
  </si>
  <si>
    <t>FIFO (first-in-first-out) первым вошел, первым идет на отправку.</t>
  </si>
  <si>
    <t>Кол-во номенклатур в месяц</t>
  </si>
  <si>
    <t>Кол-во штук в месяц</t>
  </si>
  <si>
    <t xml:space="preserve">Какие услуги, дополнительно к складским, Вас интересуют? Переупаковка, сборка наборов, предоставление офиса и т.д.
</t>
  </si>
  <si>
    <t>co-packing (копакинг) - услуги по упаковке, переупаковке, нанесению стикеров и маркировке товаров</t>
  </si>
  <si>
    <t>ж/д контейнер 40 фут</t>
  </si>
  <si>
    <t>ж/д контейнер 20 фут</t>
  </si>
  <si>
    <t>Вход товара на склад</t>
  </si>
  <si>
    <t>Выход товара со склада</t>
  </si>
  <si>
    <t>Укажите пожалуйста требуемый тип передачи данных (1-й, 2-й или 3-й - см. примечание) и наличие ЭДО</t>
  </si>
  <si>
    <t>Наличие ЭДО</t>
  </si>
  <si>
    <t>Ваша система учёта с которой будет настроена интеграция</t>
  </si>
  <si>
    <t>Минимальная единица учета и обработки товара (короб, паллета и т.п.)</t>
  </si>
  <si>
    <t xml:space="preserve">Кол-во артикулов на одной смешанной паллете </t>
  </si>
  <si>
    <t>Требуемый объем хранения на складе</t>
  </si>
  <si>
    <t>Услуга</t>
  </si>
  <si>
    <t>описание услуги</t>
  </si>
  <si>
    <t>единица измерения</t>
  </si>
  <si>
    <t>Выгрузка паллеты</t>
  </si>
  <si>
    <t>Разгрузка паллет с использованием специальных технических средств.</t>
  </si>
  <si>
    <t>паллетоместо</t>
  </si>
  <si>
    <t>Приемка монопаллеты</t>
  </si>
  <si>
    <t>Приемка в систему учета по номенклатуре и количеству. На одной паллете один артикул.</t>
  </si>
  <si>
    <t>Приемка смешанной паллеты</t>
  </si>
  <si>
    <t>Приемка коробов поступивших на паллете. На одной паллете более одного артикула. Включает снятие транспортировочного стретча, сортировку по наименованиям, приемку в систему учета по номенклатуре и количеству.</t>
  </si>
  <si>
    <t>упаковка/коробка</t>
  </si>
  <si>
    <t>Выгрузка коробов в навал</t>
  </si>
  <si>
    <t>Ручная выгрузка коробов (ТМЦ пришли без паллет) обмотка стретч пленкой и предоставление паллет для хранения оплачивается дополнительно, включает сортировку по наименованию</t>
  </si>
  <si>
    <t>Приемка коробов валом</t>
  </si>
  <si>
    <t xml:space="preserve">Приемка в систему учета  (ТМЦ пришли без паллет и не требуют машинной обработки). </t>
  </si>
  <si>
    <t>Штучная приемка ТМЦ</t>
  </si>
  <si>
    <t>Поштучная приёмка по штрихкоду со штуки.</t>
  </si>
  <si>
    <t>штука</t>
  </si>
  <si>
    <t>ПРР механизированный, выгрузка негабаритных ТМЦ</t>
  </si>
  <si>
    <t xml:space="preserve">Разгрузка с использованием специальных технических средств. На одном месте один артикул. </t>
  </si>
  <si>
    <t>шт/м3</t>
  </si>
  <si>
    <t>Приемка негабаритных ТМЦ</t>
  </si>
  <si>
    <t xml:space="preserve">Приемка в систему учета по номенклатуре и количеству, размещение в зону хранения. На одном месте один артикул. </t>
  </si>
  <si>
    <t>Подбор штук</t>
  </si>
  <si>
    <t>Поштучный подбор ТМЦ. Поиск в зоне хранения и подготовка к отгрузке по учетной системе без доп.упаковки.</t>
  </si>
  <si>
    <t>Подбор короба</t>
  </si>
  <si>
    <t>Подбор ТМЦ - упаковка/коробка/мешок/ведро. Поиск в зоне хранения и подготовка к отгрузке по учетной системе.</t>
  </si>
  <si>
    <t>Подбор монопаллеты</t>
  </si>
  <si>
    <t>Подбор ТМЦ - монопаллета Поиск в зоне хранения и подготовка к отгрузке по учетной системе.</t>
  </si>
  <si>
    <t>Подбор негабаритных ТМЦ</t>
  </si>
  <si>
    <t>Отгрузка монопаллеты</t>
  </si>
  <si>
    <t>Погрузка транспортных средств с использованием специальных технических средств.</t>
  </si>
  <si>
    <t>Отгрузка смешанной паллеты</t>
  </si>
  <si>
    <t>Отгрузка короба в навал</t>
  </si>
  <si>
    <t xml:space="preserve">Погрузка транспортных средств без использования специальных технических средств (ТМЦ отгружаются без паллет). Включает погрузку ТМЦ коробами в кузов ТС. </t>
  </si>
  <si>
    <t>ПРР механизированный, отгрузка негабаритных ТМЦ</t>
  </si>
  <si>
    <t>Тарифы и ценообразование</t>
  </si>
  <si>
    <t>Входит в состав услуги</t>
  </si>
  <si>
    <t>Ед.изм.</t>
  </si>
  <si>
    <r>
      <t>Тарифная сетка (</t>
    </r>
    <r>
      <rPr>
        <b/>
        <sz val="12"/>
        <color theme="1"/>
        <rFont val="Arial"/>
        <family val="2"/>
        <charset val="204"/>
      </rPr>
      <t>выбрать необходимые услуги из списка, в столбце "Услуга"</t>
    </r>
    <r>
      <rPr>
        <sz val="12"/>
        <color theme="1"/>
        <rFont val="Arial"/>
        <family val="2"/>
        <charset val="204"/>
      </rPr>
      <t>)</t>
    </r>
  </si>
  <si>
    <r>
      <t xml:space="preserve">Необходимо внести информацию, где текст выделен </t>
    </r>
    <r>
      <rPr>
        <b/>
        <sz val="14"/>
        <color rgb="FF0000FF"/>
        <rFont val="Arial"/>
        <family val="2"/>
        <charset val="204"/>
      </rPr>
      <t>синим шрифтом</t>
    </r>
    <r>
      <rPr>
        <b/>
        <sz val="14"/>
        <rFont val="Arial"/>
        <family val="2"/>
        <charset val="204"/>
      </rPr>
      <t xml:space="preserve">
</t>
    </r>
  </si>
  <si>
    <t>GUID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</si>
</sst>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6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</font>
    <font>
      <sz val="10"/>
      <name val="Times New Roman"/>
      <family val="1"/>
    </font>
    <font>
      <b/>
      <sz val="11"/>
      <name val="Times New Roman"/>
      <family val="1"/>
    </font>
    <font>
      <b/>
      <sz val="11"/>
      <name val="Arial Cyr"/>
      <charset val="204"/>
    </font>
    <font>
      <b/>
      <sz val="10"/>
      <color indexed="12"/>
      <name val="Times New Roman"/>
      <family val="1"/>
    </font>
    <font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10"/>
      <name val="Arial Cyr"/>
      <charset val="204"/>
    </font>
    <font>
      <b/>
      <sz val="10"/>
      <color indexed="10"/>
      <name val="Arial Cyr"/>
      <charset val="204"/>
    </font>
    <font>
      <b/>
      <sz val="11"/>
      <name val="Times New Roman"/>
      <family val="1"/>
      <charset val="204"/>
    </font>
    <font>
      <sz val="10"/>
      <color indexed="12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12"/>
      <name val="Arial Cyr"/>
      <charset val="204"/>
    </font>
    <font>
      <b/>
      <sz val="10"/>
      <color indexed="12"/>
      <name val="Times New Roman"/>
      <family val="1"/>
      <charset val="204"/>
    </font>
    <font>
      <b/>
      <sz val="10"/>
      <name val="Times New Roman"/>
      <family val="1"/>
    </font>
    <font>
      <b/>
      <sz val="14"/>
      <color indexed="10"/>
      <name val="Arial Cyr"/>
      <charset val="204"/>
    </font>
    <font>
      <b/>
      <sz val="10"/>
      <name val="Times New Roman"/>
      <family val="1"/>
      <charset val="204"/>
    </font>
    <font>
      <sz val="11"/>
      <name val="Times New Roman"/>
      <family val="1"/>
    </font>
    <font>
      <sz val="8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8"/>
      <color indexed="81"/>
      <name val="Tahoma"/>
      <family val="2"/>
    </font>
    <font>
      <sz val="10"/>
      <color theme="0"/>
      <name val="Arial Cyr"/>
      <charset val="204"/>
    </font>
    <font>
      <b/>
      <sz val="14"/>
      <color theme="0"/>
      <name val="Arial Cyr"/>
      <charset val="204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  <charset val="204"/>
    </font>
    <font>
      <sz val="12"/>
      <color theme="0"/>
      <name val="Arial"/>
      <family val="2"/>
      <charset val="204"/>
    </font>
    <font>
      <b/>
      <sz val="12"/>
      <color rgb="FFC92929"/>
      <name val="Arial"/>
      <family val="2"/>
    </font>
    <font>
      <sz val="12"/>
      <color rgb="FFC92929"/>
      <name val="Arial"/>
      <family val="2"/>
    </font>
    <font>
      <b/>
      <sz val="12"/>
      <color rgb="FFC92929"/>
      <name val="Times New Roman"/>
      <family val="1"/>
    </font>
    <font>
      <sz val="12"/>
      <color rgb="FFC92929"/>
      <name val="Arial Cyr"/>
      <charset val="204"/>
    </font>
    <font>
      <b/>
      <sz val="11"/>
      <color rgb="FFFF0000"/>
      <name val="Times New Roman"/>
      <family val="1"/>
      <charset val="204"/>
    </font>
    <font>
      <sz val="10"/>
      <color theme="0"/>
      <name val="Times New Roman"/>
      <family val="1"/>
    </font>
    <font>
      <b/>
      <sz val="12"/>
      <color theme="0"/>
      <name val="Times New Roman"/>
      <family val="1"/>
    </font>
    <font>
      <b/>
      <sz val="14"/>
      <color rgb="FF0000FF"/>
      <name val="Arial"/>
      <family val="2"/>
      <charset val="204"/>
    </font>
    <font>
      <b/>
      <sz val="10"/>
      <color rgb="FF0000FF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1"/>
      <color rgb="FFC92929"/>
      <name val="Arial"/>
      <family val="2"/>
      <charset val="204"/>
    </font>
    <font>
      <b/>
      <sz val="11"/>
      <color rgb="FFC92929"/>
      <name val="Arial"/>
      <family val="2"/>
    </font>
    <font>
      <b/>
      <sz val="11"/>
      <color indexed="9"/>
      <name val="Arial"/>
      <family val="2"/>
    </font>
    <font>
      <b/>
      <sz val="11"/>
      <color rgb="FF800000"/>
      <name val="ar"/>
      <charset val="204"/>
    </font>
    <font>
      <b/>
      <sz val="11"/>
      <color theme="0"/>
      <name val="ar"/>
      <charset val="204"/>
    </font>
    <font>
      <b/>
      <sz val="11"/>
      <color rgb="FFC92929"/>
      <name val="ar"/>
      <charset val="204"/>
    </font>
    <font>
      <b/>
      <sz val="11"/>
      <color theme="0"/>
      <name val="Arial"/>
      <family val="2"/>
    </font>
    <font>
      <b/>
      <sz val="11"/>
      <name val="ar"/>
      <charset val="204"/>
    </font>
    <font>
      <sz val="10"/>
      <color theme="0" tint="-0.499984740745262"/>
      <name val="Arial Cyr"/>
      <charset val="204"/>
    </font>
    <font>
      <b/>
      <sz val="8"/>
      <color indexed="8"/>
      <name val="Tahoma"/>
      <family val="2"/>
      <charset val="204"/>
    </font>
    <font>
      <i/>
      <sz val="8"/>
      <color indexed="8"/>
      <name val="Tahoma"/>
      <family val="2"/>
      <charset val="204"/>
    </font>
    <font>
      <sz val="9"/>
      <color indexed="8"/>
      <name val="Tahoma"/>
      <family val="2"/>
      <charset val="204"/>
    </font>
    <font>
      <sz val="10"/>
      <color theme="1"/>
      <name val="Calibri"/>
      <family val="2"/>
      <charset val="204"/>
    </font>
    <font>
      <b/>
      <sz val="10"/>
      <color rgb="FF000000"/>
      <name val="Arial"/>
      <family val="2"/>
      <charset val="204"/>
    </font>
    <font>
      <b/>
      <sz val="10"/>
      <color theme="0"/>
      <name val="Arial"/>
      <family val="2"/>
      <charset val="204"/>
    </font>
    <font>
      <sz val="11"/>
      <color theme="0"/>
      <name val="Calibri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0"/>
      <name val="Arial"/>
      <family val="2"/>
      <charset val="204"/>
    </font>
    <font>
      <b/>
      <sz val="26"/>
      <color theme="0"/>
      <name val="Times New Roman"/>
      <family val="1"/>
      <charset val="204"/>
    </font>
    <font>
      <b/>
      <sz val="14"/>
      <color theme="0"/>
      <name val="Arial"/>
      <family val="2"/>
    </font>
    <font>
      <b/>
      <sz val="12"/>
      <color rgb="FFC00000"/>
      <name val="Arial"/>
      <family val="2"/>
    </font>
    <font>
      <b/>
      <sz val="11"/>
      <color rgb="FFC00000"/>
      <name val="ar"/>
      <charset val="204"/>
    </font>
    <font>
      <b/>
      <sz val="12"/>
      <color theme="1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7333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C00000"/>
        <bgColor rgb="FFFFC000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34998626667073579"/>
        <bgColor indexed="64"/>
      </patternFill>
    </fill>
  </fills>
  <borders count="8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ck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ck">
        <color rgb="FF000000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8" fillId="0" borderId="0"/>
    <xf numFmtId="0" fontId="2" fillId="0" borderId="0"/>
    <xf numFmtId="9" fontId="2" fillId="0" borderId="0" applyFont="0" applyFill="0" applyBorder="0" applyAlignment="0" applyProtection="0"/>
    <xf numFmtId="0" fontId="55" fillId="0" borderId="0"/>
  </cellStyleXfs>
  <cellXfs count="312">
    <xf numFmtId="0" fontId="0" fillId="0" borderId="0" xfId="0"/>
    <xf numFmtId="0" fontId="4" fillId="0" borderId="0" xfId="2" applyFont="1" applyFill="1" applyBorder="1"/>
    <xf numFmtId="0" fontId="4" fillId="0" borderId="0" xfId="2" applyFont="1" applyFill="1"/>
    <xf numFmtId="0" fontId="4" fillId="0" borderId="8" xfId="2" applyFont="1" applyFill="1" applyBorder="1" applyAlignment="1">
      <alignment vertical="top" wrapText="1"/>
    </xf>
    <xf numFmtId="0" fontId="7" fillId="0" borderId="8" xfId="3" applyFont="1" applyFill="1" applyBorder="1" applyAlignment="1" applyProtection="1">
      <alignment horizontal="center" vertical="center" wrapText="1"/>
      <protection locked="0"/>
    </xf>
    <xf numFmtId="0" fontId="8" fillId="0" borderId="0" xfId="3" applyBorder="1" applyAlignment="1" applyProtection="1">
      <protection locked="0"/>
    </xf>
    <xf numFmtId="0" fontId="8" fillId="0" borderId="15" xfId="3" applyBorder="1" applyAlignment="1" applyProtection="1">
      <protection locked="0"/>
    </xf>
    <xf numFmtId="0" fontId="4" fillId="4" borderId="8" xfId="2" applyFont="1" applyFill="1" applyBorder="1" applyAlignment="1">
      <alignment vertical="top" wrapText="1"/>
    </xf>
    <xf numFmtId="0" fontId="7" fillId="0" borderId="17" xfId="2" applyFont="1" applyFill="1" applyBorder="1" applyAlignment="1">
      <alignment horizontal="center" vertical="center" wrapText="1"/>
    </xf>
    <xf numFmtId="0" fontId="10" fillId="0" borderId="0" xfId="2" applyFont="1" applyFill="1" applyBorder="1" applyAlignment="1">
      <alignment horizontal="left"/>
    </xf>
    <xf numFmtId="0" fontId="2" fillId="0" borderId="0" xfId="2" applyFont="1" applyFill="1" applyBorder="1" applyAlignment="1">
      <alignment horizontal="center"/>
    </xf>
    <xf numFmtId="0" fontId="2" fillId="0" borderId="15" xfId="2" applyFont="1" applyFill="1" applyBorder="1" applyAlignment="1">
      <alignment horizontal="center"/>
    </xf>
    <xf numFmtId="0" fontId="7" fillId="0" borderId="8" xfId="2" applyFont="1" applyFill="1" applyBorder="1" applyAlignment="1">
      <alignment horizontal="center" wrapText="1"/>
    </xf>
    <xf numFmtId="0" fontId="11" fillId="0" borderId="0" xfId="2" applyFont="1" applyFill="1" applyBorder="1" applyAlignment="1">
      <alignment horizontal="left"/>
    </xf>
    <xf numFmtId="0" fontId="2" fillId="0" borderId="0" xfId="4" applyFont="1" applyBorder="1"/>
    <xf numFmtId="0" fontId="7" fillId="0" borderId="17" xfId="3" applyFont="1" applyFill="1" applyBorder="1" applyAlignment="1" applyProtection="1">
      <alignment horizontal="center" wrapText="1"/>
      <protection locked="0"/>
    </xf>
    <xf numFmtId="0" fontId="7" fillId="0" borderId="8" xfId="3" applyFont="1" applyFill="1" applyBorder="1" applyAlignment="1" applyProtection="1">
      <alignment horizontal="center" wrapText="1"/>
      <protection locked="0"/>
    </xf>
    <xf numFmtId="0" fontId="4" fillId="4" borderId="21" xfId="2" applyFont="1" applyFill="1" applyBorder="1" applyAlignment="1">
      <alignment vertical="top" wrapText="1"/>
    </xf>
    <xf numFmtId="0" fontId="7" fillId="0" borderId="10" xfId="2" applyFont="1" applyFill="1" applyBorder="1" applyAlignment="1">
      <alignment horizontal="center" vertical="top" wrapText="1"/>
    </xf>
    <xf numFmtId="0" fontId="7" fillId="0" borderId="8" xfId="2" applyFont="1" applyFill="1" applyBorder="1" applyAlignment="1">
      <alignment horizontal="center" vertical="top" wrapText="1"/>
    </xf>
    <xf numFmtId="0" fontId="4" fillId="0" borderId="0" xfId="2" applyFont="1" applyFill="1" applyBorder="1" applyAlignment="1"/>
    <xf numFmtId="0" fontId="4" fillId="0" borderId="8" xfId="2" applyFont="1" applyFill="1" applyBorder="1" applyAlignment="1">
      <alignment horizontal="center" vertical="top" wrapText="1"/>
    </xf>
    <xf numFmtId="0" fontId="4" fillId="0" borderId="0" xfId="2" applyFont="1" applyFill="1" applyBorder="1" applyAlignment="1">
      <alignment vertical="top"/>
    </xf>
    <xf numFmtId="0" fontId="4" fillId="0" borderId="0" xfId="2" applyFont="1" applyFill="1" applyAlignment="1"/>
    <xf numFmtId="0" fontId="13" fillId="0" borderId="8" xfId="2" applyFont="1" applyFill="1" applyBorder="1" applyAlignment="1">
      <alignment horizontal="center" vertical="top" wrapText="1"/>
    </xf>
    <xf numFmtId="0" fontId="4" fillId="0" borderId="8" xfId="2" applyFont="1" applyFill="1" applyBorder="1" applyAlignment="1">
      <alignment horizontal="center" vertical="center" wrapText="1"/>
    </xf>
    <xf numFmtId="0" fontId="7" fillId="0" borderId="8" xfId="2" applyFont="1" applyFill="1" applyBorder="1" applyAlignment="1">
      <alignment horizontal="center" vertical="center" wrapText="1"/>
    </xf>
    <xf numFmtId="0" fontId="7" fillId="0" borderId="10" xfId="2" applyFont="1" applyFill="1" applyBorder="1" applyAlignment="1">
      <alignment horizontal="center" vertical="center" wrapText="1"/>
    </xf>
    <xf numFmtId="0" fontId="7" fillId="0" borderId="32" xfId="2" applyFont="1" applyFill="1" applyBorder="1" applyAlignment="1">
      <alignment horizontal="center" vertical="top" wrapText="1"/>
    </xf>
    <xf numFmtId="0" fontId="7" fillId="0" borderId="0" xfId="2" applyFont="1" applyFill="1" applyBorder="1" applyAlignment="1">
      <alignment horizontal="center" vertical="top" wrapText="1"/>
    </xf>
    <xf numFmtId="0" fontId="4" fillId="0" borderId="8" xfId="2" applyFont="1" applyFill="1" applyBorder="1" applyAlignment="1">
      <alignment horizontal="center" wrapText="1"/>
    </xf>
    <xf numFmtId="0" fontId="14" fillId="0" borderId="8" xfId="2" applyFont="1" applyFill="1" applyBorder="1" applyAlignment="1">
      <alignment horizontal="center" wrapText="1"/>
    </xf>
    <xf numFmtId="0" fontId="15" fillId="0" borderId="37" xfId="2" applyFont="1" applyFill="1" applyBorder="1" applyAlignment="1">
      <alignment horizontal="center" vertical="center" wrapText="1"/>
    </xf>
    <xf numFmtId="164" fontId="14" fillId="0" borderId="8" xfId="2" applyNumberFormat="1" applyFont="1" applyFill="1" applyBorder="1" applyAlignment="1">
      <alignment vertical="top" wrapText="1"/>
    </xf>
    <xf numFmtId="0" fontId="16" fillId="0" borderId="8" xfId="2" applyFont="1" applyFill="1" applyBorder="1" applyAlignment="1">
      <alignment vertical="top" wrapText="1"/>
    </xf>
    <xf numFmtId="0" fontId="16" fillId="0" borderId="32" xfId="2" applyFont="1" applyFill="1" applyBorder="1" applyAlignment="1">
      <alignment vertical="top" wrapText="1"/>
    </xf>
    <xf numFmtId="164" fontId="14" fillId="0" borderId="0" xfId="2" applyNumberFormat="1" applyFont="1" applyFill="1" applyBorder="1" applyAlignment="1">
      <alignment vertical="top" wrapText="1"/>
    </xf>
    <xf numFmtId="0" fontId="4" fillId="4" borderId="10" xfId="2" applyFont="1" applyFill="1" applyBorder="1" applyAlignment="1">
      <alignment vertical="center" wrapText="1"/>
    </xf>
    <xf numFmtId="9" fontId="7" fillId="0" borderId="10" xfId="2" applyNumberFormat="1" applyFont="1" applyFill="1" applyBorder="1" applyAlignment="1">
      <alignment horizontal="center" vertical="center" wrapText="1"/>
    </xf>
    <xf numFmtId="9" fontId="7" fillId="0" borderId="10" xfId="2" applyNumberFormat="1" applyFont="1" applyFill="1" applyBorder="1" applyAlignment="1">
      <alignment horizontal="center" wrapText="1"/>
    </xf>
    <xf numFmtId="0" fontId="4" fillId="0" borderId="8" xfId="2" applyFont="1" applyFill="1" applyBorder="1" applyAlignment="1">
      <alignment vertical="center" wrapText="1"/>
    </xf>
    <xf numFmtId="0" fontId="4" fillId="0" borderId="40" xfId="2" applyFont="1" applyFill="1" applyBorder="1" applyAlignment="1">
      <alignment horizontal="center" wrapText="1"/>
    </xf>
    <xf numFmtId="9" fontId="7" fillId="0" borderId="8" xfId="2" applyNumberFormat="1" applyFont="1" applyFill="1" applyBorder="1" applyAlignment="1">
      <alignment horizontal="center" vertical="center" wrapText="1"/>
    </xf>
    <xf numFmtId="9" fontId="7" fillId="0" borderId="8" xfId="2" applyNumberFormat="1" applyFont="1" applyFill="1" applyBorder="1" applyAlignment="1">
      <alignment horizontal="center" wrapText="1"/>
    </xf>
    <xf numFmtId="0" fontId="4" fillId="0" borderId="10" xfId="2" applyFont="1" applyFill="1" applyBorder="1" applyAlignment="1">
      <alignment vertical="center" wrapText="1"/>
    </xf>
    <xf numFmtId="0" fontId="4" fillId="0" borderId="8" xfId="2" applyFont="1" applyFill="1" applyBorder="1" applyAlignment="1">
      <alignment horizontal="left" vertical="center" wrapText="1" indent="1"/>
    </xf>
    <xf numFmtId="0" fontId="4" fillId="0" borderId="17" xfId="2" applyFont="1" applyFill="1" applyBorder="1" applyAlignment="1">
      <alignment horizontal="left" vertical="center" wrapText="1" indent="1"/>
    </xf>
    <xf numFmtId="0" fontId="4" fillId="0" borderId="17" xfId="2" applyFont="1" applyFill="1" applyBorder="1" applyAlignment="1">
      <alignment vertical="center" wrapText="1"/>
    </xf>
    <xf numFmtId="0" fontId="10" fillId="0" borderId="0" xfId="2" applyFont="1" applyFill="1" applyBorder="1" applyAlignment="1">
      <alignment horizontal="center"/>
    </xf>
    <xf numFmtId="0" fontId="7" fillId="0" borderId="35" xfId="2" applyFont="1" applyFill="1" applyBorder="1" applyAlignment="1">
      <alignment horizontal="center" vertical="center" wrapText="1"/>
    </xf>
    <xf numFmtId="0" fontId="17" fillId="0" borderId="0" xfId="2" applyFont="1" applyFill="1" applyBorder="1" applyAlignment="1">
      <alignment horizontal="center"/>
    </xf>
    <xf numFmtId="0" fontId="17" fillId="0" borderId="15" xfId="2" applyFont="1" applyFill="1" applyBorder="1" applyAlignment="1">
      <alignment horizontal="center"/>
    </xf>
    <xf numFmtId="0" fontId="13" fillId="0" borderId="0" xfId="2" applyFont="1" applyFill="1" applyBorder="1"/>
    <xf numFmtId="0" fontId="13" fillId="0" borderId="0" xfId="2" applyFont="1" applyFill="1"/>
    <xf numFmtId="0" fontId="4" fillId="0" borderId="35" xfId="2" applyFont="1" applyFill="1" applyBorder="1" applyAlignment="1">
      <alignment horizontal="left" vertical="center" wrapText="1" indent="1"/>
    </xf>
    <xf numFmtId="0" fontId="4" fillId="0" borderId="28" xfId="2" applyFont="1" applyFill="1" applyBorder="1" applyAlignment="1">
      <alignment vertical="top" wrapText="1"/>
    </xf>
    <xf numFmtId="9" fontId="7" fillId="0" borderId="40" xfId="2" applyNumberFormat="1" applyFont="1" applyFill="1" applyBorder="1" applyAlignment="1">
      <alignment horizontal="center" wrapText="1"/>
    </xf>
    <xf numFmtId="0" fontId="4" fillId="0" borderId="8" xfId="2" applyFont="1" applyBorder="1" applyAlignment="1">
      <alignment horizontal="center" wrapText="1"/>
    </xf>
    <xf numFmtId="9" fontId="18" fillId="0" borderId="8" xfId="2" applyNumberFormat="1" applyFont="1" applyFill="1" applyBorder="1" applyAlignment="1">
      <alignment horizontal="center" wrapText="1"/>
    </xf>
    <xf numFmtId="9" fontId="18" fillId="0" borderId="8" xfId="2" applyNumberFormat="1" applyFont="1" applyBorder="1" applyAlignment="1">
      <alignment horizontal="center" wrapText="1"/>
    </xf>
    <xf numFmtId="1" fontId="7" fillId="0" borderId="10" xfId="2" applyNumberFormat="1" applyFont="1" applyFill="1" applyBorder="1" applyAlignment="1">
      <alignment horizontal="center" wrapText="1"/>
    </xf>
    <xf numFmtId="1" fontId="7" fillId="0" borderId="31" xfId="2" applyNumberFormat="1" applyFont="1" applyFill="1" applyBorder="1" applyAlignment="1">
      <alignment horizontal="center" wrapText="1"/>
    </xf>
    <xf numFmtId="1" fontId="7" fillId="0" borderId="11" xfId="2" applyNumberFormat="1" applyFont="1" applyFill="1" applyBorder="1" applyAlignment="1">
      <alignment horizontal="center" wrapText="1"/>
    </xf>
    <xf numFmtId="0" fontId="4" fillId="0" borderId="0" xfId="2" applyFont="1" applyFill="1" applyBorder="1" applyAlignment="1">
      <alignment horizontal="left"/>
    </xf>
    <xf numFmtId="0" fontId="4" fillId="0" borderId="0" xfId="2" applyFont="1" applyFill="1" applyAlignment="1">
      <alignment horizontal="left"/>
    </xf>
    <xf numFmtId="0" fontId="18" fillId="0" borderId="37" xfId="2" applyFont="1" applyFill="1" applyBorder="1" applyAlignment="1">
      <alignment horizontal="center" vertical="top" wrapText="1"/>
    </xf>
    <xf numFmtId="0" fontId="18" fillId="0" borderId="43" xfId="2" applyFont="1" applyFill="1" applyBorder="1" applyAlignment="1">
      <alignment horizontal="center" vertical="top" wrapText="1"/>
    </xf>
    <xf numFmtId="0" fontId="2" fillId="4" borderId="0" xfId="2" applyFont="1" applyFill="1" applyBorder="1" applyAlignment="1">
      <alignment horizontal="center"/>
    </xf>
    <xf numFmtId="0" fontId="14" fillId="4" borderId="8" xfId="2" applyFont="1" applyFill="1" applyBorder="1" applyAlignment="1">
      <alignment horizontal="center" wrapText="1"/>
    </xf>
    <xf numFmtId="0" fontId="16" fillId="0" borderId="0" xfId="2" applyFont="1" applyFill="1" applyBorder="1" applyAlignment="1">
      <alignment vertical="top" wrapText="1"/>
    </xf>
    <xf numFmtId="0" fontId="20" fillId="0" borderId="0" xfId="2" applyFont="1" applyFill="1" applyBorder="1" applyAlignment="1">
      <alignment horizontal="left"/>
    </xf>
    <xf numFmtId="0" fontId="4" fillId="0" borderId="44" xfId="2" applyFont="1" applyFill="1" applyBorder="1" applyAlignment="1">
      <alignment vertical="top" wrapText="1"/>
    </xf>
    <xf numFmtId="0" fontId="18" fillId="0" borderId="45" xfId="2" applyFont="1" applyFill="1" applyBorder="1" applyAlignment="1">
      <alignment horizontal="center" vertical="top" wrapText="1"/>
    </xf>
    <xf numFmtId="0" fontId="4" fillId="4" borderId="8" xfId="2" applyFont="1" applyFill="1" applyBorder="1" applyAlignment="1">
      <alignment horizontal="center" vertical="top" wrapText="1"/>
    </xf>
    <xf numFmtId="0" fontId="4" fillId="4" borderId="10" xfId="2" applyFont="1" applyFill="1" applyBorder="1" applyAlignment="1">
      <alignment vertical="top" wrapText="1"/>
    </xf>
    <xf numFmtId="0" fontId="4" fillId="4" borderId="8" xfId="2" applyFont="1" applyFill="1" applyBorder="1" applyAlignment="1">
      <alignment vertical="center" wrapText="1"/>
    </xf>
    <xf numFmtId="0" fontId="4" fillId="4" borderId="8" xfId="2" applyFont="1" applyFill="1" applyBorder="1" applyAlignment="1">
      <alignment horizontal="center" vertical="center" wrapText="1"/>
    </xf>
    <xf numFmtId="9" fontId="7" fillId="0" borderId="8" xfId="1" applyFont="1" applyFill="1" applyBorder="1" applyAlignment="1">
      <alignment horizontal="center" vertical="center" wrapText="1"/>
    </xf>
    <xf numFmtId="0" fontId="4" fillId="4" borderId="9" xfId="2" applyFont="1" applyFill="1" applyBorder="1" applyAlignment="1">
      <alignment vertical="top" wrapText="1"/>
    </xf>
    <xf numFmtId="0" fontId="7" fillId="4" borderId="8" xfId="2" applyFont="1" applyFill="1" applyBorder="1" applyAlignment="1">
      <alignment horizontal="center" vertical="top" wrapText="1"/>
    </xf>
    <xf numFmtId="0" fontId="4" fillId="4" borderId="8" xfId="2" applyFont="1" applyFill="1" applyBorder="1" applyAlignment="1">
      <alignment horizontal="left" vertical="top" wrapText="1" indent="1"/>
    </xf>
    <xf numFmtId="0" fontId="4" fillId="4" borderId="17" xfId="2" applyFont="1" applyFill="1" applyBorder="1" applyAlignment="1">
      <alignment horizontal="left" vertical="top" wrapText="1" indent="1"/>
    </xf>
    <xf numFmtId="0" fontId="7" fillId="4" borderId="17" xfId="2" applyFont="1" applyFill="1" applyBorder="1" applyAlignment="1">
      <alignment horizontal="center" vertical="top" wrapText="1"/>
    </xf>
    <xf numFmtId="0" fontId="4" fillId="4" borderId="8" xfId="2" applyFont="1" applyFill="1" applyBorder="1" applyAlignment="1">
      <alignment horizontal="left" vertical="center" wrapText="1" indent="1"/>
    </xf>
    <xf numFmtId="165" fontId="7" fillId="4" borderId="8" xfId="3" applyNumberFormat="1" applyFont="1" applyFill="1" applyBorder="1" applyAlignment="1" applyProtection="1">
      <alignment horizontal="center" vertical="top" wrapText="1"/>
      <protection locked="0"/>
    </xf>
    <xf numFmtId="0" fontId="7" fillId="0" borderId="31" xfId="2" applyFont="1" applyFill="1" applyBorder="1" applyAlignment="1">
      <alignment horizontal="center" vertical="top" wrapText="1"/>
    </xf>
    <xf numFmtId="0" fontId="27" fillId="0" borderId="0" xfId="2" applyFont="1" applyFill="1" applyBorder="1" applyAlignment="1">
      <alignment horizontal="left"/>
    </xf>
    <xf numFmtId="0" fontId="26" fillId="0" borderId="0" xfId="2" applyFont="1" applyFill="1" applyBorder="1" applyAlignment="1">
      <alignment horizontal="center"/>
    </xf>
    <xf numFmtId="0" fontId="4" fillId="6" borderId="8" xfId="2" applyFont="1" applyFill="1" applyBorder="1" applyAlignment="1">
      <alignment horizontal="left" vertical="center" wrapText="1" indent="1"/>
    </xf>
    <xf numFmtId="0" fontId="4" fillId="6" borderId="8" xfId="2" applyFont="1" applyFill="1" applyBorder="1" applyAlignment="1">
      <alignment horizontal="center" vertical="top" wrapText="1"/>
    </xf>
    <xf numFmtId="0" fontId="4" fillId="0" borderId="28" xfId="2" applyFont="1" applyFill="1" applyBorder="1" applyAlignment="1">
      <alignment horizontal="center" wrapText="1"/>
    </xf>
    <xf numFmtId="0" fontId="37" fillId="0" borderId="0" xfId="2" applyFont="1" applyFill="1" applyBorder="1"/>
    <xf numFmtId="0" fontId="38" fillId="0" borderId="0" xfId="2" applyFont="1" applyFill="1" applyBorder="1"/>
    <xf numFmtId="0" fontId="37" fillId="0" borderId="0" xfId="2" applyFont="1" applyFill="1" applyBorder="1" applyAlignment="1"/>
    <xf numFmtId="0" fontId="37" fillId="0" borderId="0" xfId="2" applyFont="1" applyFill="1" applyBorder="1" applyAlignment="1">
      <alignment horizontal="left"/>
    </xf>
    <xf numFmtId="0" fontId="4" fillId="0" borderId="17" xfId="2" applyFont="1" applyBorder="1" applyAlignment="1">
      <alignment vertical="top" wrapText="1"/>
    </xf>
    <xf numFmtId="0" fontId="4" fillId="0" borderId="36" xfId="2" applyFont="1" applyFill="1" applyBorder="1" applyAlignment="1">
      <alignment horizontal="left" vertical="center" wrapText="1"/>
    </xf>
    <xf numFmtId="0" fontId="4" fillId="4" borderId="17" xfId="2" applyFont="1" applyFill="1" applyBorder="1" applyAlignment="1">
      <alignment vertical="center" wrapText="1"/>
    </xf>
    <xf numFmtId="0" fontId="4" fillId="4" borderId="17" xfId="2" applyFont="1" applyFill="1" applyBorder="1" applyAlignment="1">
      <alignment vertical="top" wrapText="1"/>
    </xf>
    <xf numFmtId="0" fontId="42" fillId="0" borderId="0" xfId="0" applyFont="1" applyFill="1" applyBorder="1" applyAlignment="1">
      <alignment horizontal="left" vertical="center"/>
    </xf>
    <xf numFmtId="0" fontId="41" fillId="0" borderId="0" xfId="0" applyFont="1"/>
    <xf numFmtId="0" fontId="43" fillId="8" borderId="7" xfId="2" applyFont="1" applyFill="1" applyBorder="1" applyAlignment="1">
      <alignment horizontal="center" vertical="center" wrapText="1"/>
    </xf>
    <xf numFmtId="0" fontId="43" fillId="8" borderId="7" xfId="2" applyFont="1" applyFill="1" applyBorder="1" applyAlignment="1">
      <alignment horizontal="center" vertical="top" wrapText="1"/>
    </xf>
    <xf numFmtId="0" fontId="45" fillId="7" borderId="16" xfId="2" applyFont="1" applyFill="1" applyBorder="1" applyAlignment="1">
      <alignment horizontal="center" wrapText="1"/>
    </xf>
    <xf numFmtId="0" fontId="47" fillId="7" borderId="16" xfId="2" applyFont="1" applyFill="1" applyBorder="1" applyAlignment="1">
      <alignment horizontal="center" vertical="center" wrapText="1"/>
    </xf>
    <xf numFmtId="0" fontId="47" fillId="7" borderId="4" xfId="2" applyFont="1" applyFill="1" applyBorder="1" applyAlignment="1">
      <alignment horizontal="center" vertical="center" wrapText="1"/>
    </xf>
    <xf numFmtId="0" fontId="49" fillId="7" borderId="25" xfId="2" applyFont="1" applyFill="1" applyBorder="1" applyAlignment="1">
      <alignment horizontal="center" vertical="center" wrapText="1"/>
    </xf>
    <xf numFmtId="0" fontId="22" fillId="0" borderId="0" xfId="2" applyFont="1" applyFill="1"/>
    <xf numFmtId="0" fontId="51" fillId="4" borderId="0" xfId="2" applyFont="1" applyFill="1" applyBorder="1" applyAlignment="1">
      <alignment horizontal="left"/>
    </xf>
    <xf numFmtId="0" fontId="51" fillId="4" borderId="0" xfId="2" applyFont="1" applyFill="1" applyBorder="1" applyAlignment="1">
      <alignment horizontal="center"/>
    </xf>
    <xf numFmtId="0" fontId="51" fillId="0" borderId="0" xfId="2" applyFont="1" applyFill="1" applyBorder="1" applyAlignment="1">
      <alignment horizontal="center"/>
    </xf>
    <xf numFmtId="0" fontId="51" fillId="0" borderId="0" xfId="2" applyFont="1" applyFill="1" applyBorder="1" applyAlignment="1">
      <alignment horizontal="left"/>
    </xf>
    <xf numFmtId="0" fontId="7" fillId="0" borderId="0" xfId="3" applyFont="1" applyFill="1" applyBorder="1" applyAlignment="1" applyProtection="1">
      <alignment horizontal="left" vertical="top" wrapText="1"/>
      <protection locked="0"/>
    </xf>
    <xf numFmtId="0" fontId="8" fillId="0" borderId="0" xfId="3" applyFill="1" applyBorder="1" applyAlignment="1" applyProtection="1">
      <protection locked="0"/>
    </xf>
    <xf numFmtId="0" fontId="8" fillId="0" borderId="15" xfId="3" applyFill="1" applyBorder="1" applyAlignment="1" applyProtection="1">
      <protection locked="0"/>
    </xf>
    <xf numFmtId="0" fontId="7" fillId="0" borderId="0" xfId="3" applyFont="1" applyFill="1" applyBorder="1" applyAlignment="1" applyProtection="1">
      <alignment horizontal="center" vertical="center" wrapText="1"/>
      <protection locked="0"/>
    </xf>
    <xf numFmtId="0" fontId="16" fillId="9" borderId="47" xfId="0" applyFont="1" applyFill="1" applyBorder="1" applyAlignment="1">
      <alignment vertical="center" wrapText="1"/>
    </xf>
    <xf numFmtId="0" fontId="7" fillId="0" borderId="17" xfId="3" applyFont="1" applyFill="1" applyBorder="1" applyAlignment="1" applyProtection="1">
      <alignment horizontal="center" vertical="center" wrapText="1"/>
      <protection locked="0"/>
    </xf>
    <xf numFmtId="0" fontId="4" fillId="0" borderId="10" xfId="2" applyFont="1" applyFill="1" applyBorder="1" applyAlignment="1">
      <alignment vertical="top" wrapText="1"/>
    </xf>
    <xf numFmtId="0" fontId="4" fillId="0" borderId="35" xfId="2" applyFont="1" applyFill="1" applyBorder="1" applyAlignment="1">
      <alignment horizontal="center" vertical="center" wrapText="1"/>
    </xf>
    <xf numFmtId="0" fontId="4" fillId="0" borderId="28" xfId="2" applyFont="1" applyFill="1" applyBorder="1" applyAlignment="1">
      <alignment horizontal="center" vertical="center" wrapText="1"/>
    </xf>
    <xf numFmtId="0" fontId="4" fillId="0" borderId="17" xfId="2" applyFont="1" applyFill="1" applyBorder="1" applyAlignment="1">
      <alignment horizontal="center" vertical="center" wrapText="1"/>
    </xf>
    <xf numFmtId="0" fontId="7" fillId="0" borderId="32" xfId="3" applyFont="1" applyFill="1" applyBorder="1" applyAlignment="1" applyProtection="1">
      <alignment horizontal="center" vertical="center" wrapText="1"/>
      <protection locked="0"/>
    </xf>
    <xf numFmtId="1" fontId="26" fillId="0" borderId="0" xfId="2" applyNumberFormat="1" applyFont="1" applyFill="1" applyBorder="1" applyAlignment="1">
      <alignment horizontal="center"/>
    </xf>
    <xf numFmtId="0" fontId="45" fillId="7" borderId="8" xfId="2" applyFont="1" applyFill="1" applyBorder="1" applyAlignment="1">
      <alignment horizontal="center" vertical="center" wrapText="1"/>
    </xf>
    <xf numFmtId="0" fontId="16" fillId="0" borderId="47" xfId="0" applyFont="1" applyFill="1" applyBorder="1" applyAlignment="1">
      <alignment vertical="center" wrapText="1"/>
    </xf>
    <xf numFmtId="0" fontId="7" fillId="0" borderId="36" xfId="3" applyFont="1" applyFill="1" applyBorder="1" applyAlignment="1" applyProtection="1">
      <alignment horizontal="center" vertical="center" wrapText="1"/>
      <protection locked="0"/>
    </xf>
    <xf numFmtId="0" fontId="7" fillId="4" borderId="49" xfId="2" applyFont="1" applyFill="1" applyBorder="1" applyAlignment="1">
      <alignment vertical="top" wrapText="1"/>
    </xf>
    <xf numFmtId="0" fontId="2" fillId="4" borderId="49" xfId="2" applyFill="1" applyBorder="1" applyAlignment="1"/>
    <xf numFmtId="0" fontId="2" fillId="4" borderId="50" xfId="2" applyFill="1" applyBorder="1" applyAlignment="1"/>
    <xf numFmtId="0" fontId="7" fillId="4" borderId="21" xfId="2" applyFont="1" applyFill="1" applyBorder="1" applyAlignment="1">
      <alignment horizontal="center" vertical="top" wrapText="1"/>
    </xf>
    <xf numFmtId="0" fontId="45" fillId="7" borderId="51" xfId="2" applyFont="1" applyFill="1" applyBorder="1" applyAlignment="1">
      <alignment horizontal="center" vertical="center" wrapText="1"/>
    </xf>
    <xf numFmtId="0" fontId="7" fillId="0" borderId="52" xfId="2" applyFont="1" applyFill="1" applyBorder="1" applyAlignment="1">
      <alignment horizontal="center" vertical="center" wrapText="1"/>
    </xf>
    <xf numFmtId="0" fontId="17" fillId="0" borderId="49" xfId="2" applyFont="1" applyFill="1" applyBorder="1" applyAlignment="1">
      <alignment horizontal="center"/>
    </xf>
    <xf numFmtId="0" fontId="17" fillId="0" borderId="50" xfId="2" applyFont="1" applyFill="1" applyBorder="1" applyAlignment="1">
      <alignment horizontal="center"/>
    </xf>
    <xf numFmtId="0" fontId="2" fillId="0" borderId="49" xfId="2" applyFont="1" applyFill="1" applyBorder="1" applyAlignment="1">
      <alignment horizontal="center"/>
    </xf>
    <xf numFmtId="0" fontId="2" fillId="0" borderId="50" xfId="2" applyFont="1" applyFill="1" applyBorder="1" applyAlignment="1">
      <alignment horizontal="center"/>
    </xf>
    <xf numFmtId="0" fontId="43" fillId="8" borderId="54" xfId="2" applyFont="1" applyFill="1" applyBorder="1" applyAlignment="1">
      <alignment horizontal="center" vertical="top" wrapText="1"/>
    </xf>
    <xf numFmtId="0" fontId="4" fillId="6" borderId="21" xfId="2" applyFont="1" applyFill="1" applyBorder="1" applyAlignment="1">
      <alignment vertical="top" wrapText="1"/>
    </xf>
    <xf numFmtId="9" fontId="14" fillId="6" borderId="21" xfId="2" applyNumberFormat="1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56" fillId="0" borderId="55" xfId="0" applyFont="1" applyBorder="1" applyAlignment="1">
      <alignment horizontal="center" vertical="center"/>
    </xf>
    <xf numFmtId="0" fontId="56" fillId="0" borderId="56" xfId="0" applyFont="1" applyBorder="1" applyAlignment="1">
      <alignment horizontal="center" vertical="center"/>
    </xf>
    <xf numFmtId="0" fontId="56" fillId="0" borderId="57" xfId="0" applyFont="1" applyBorder="1" applyAlignment="1">
      <alignment horizontal="center" vertical="center" wrapText="1"/>
    </xf>
    <xf numFmtId="0" fontId="58" fillId="11" borderId="24" xfId="0" applyFont="1" applyFill="1" applyBorder="1" applyAlignment="1"/>
    <xf numFmtId="0" fontId="59" fillId="0" borderId="58" xfId="0" applyFont="1" applyBorder="1" applyAlignment="1">
      <alignment vertical="center"/>
    </xf>
    <xf numFmtId="0" fontId="59" fillId="0" borderId="59" xfId="0" applyFont="1" applyBorder="1" applyAlignment="1">
      <alignment vertical="center" wrapText="1"/>
    </xf>
    <xf numFmtId="0" fontId="59" fillId="0" borderId="60" xfId="0" applyFont="1" applyBorder="1" applyAlignment="1">
      <alignment horizontal="center" vertical="center" wrapText="1"/>
    </xf>
    <xf numFmtId="0" fontId="1" fillId="0" borderId="61" xfId="0" applyFont="1" applyBorder="1" applyAlignment="1"/>
    <xf numFmtId="0" fontId="59" fillId="0" borderId="62" xfId="0" applyFont="1" applyBorder="1" applyAlignment="1">
      <alignment vertical="center" wrapText="1"/>
    </xf>
    <xf numFmtId="0" fontId="59" fillId="0" borderId="63" xfId="0" applyFont="1" applyBorder="1" applyAlignment="1">
      <alignment horizontal="center" vertical="center" wrapText="1"/>
    </xf>
    <xf numFmtId="0" fontId="59" fillId="0" borderId="64" xfId="0" applyFont="1" applyBorder="1" applyAlignment="1">
      <alignment vertical="center" wrapText="1"/>
    </xf>
    <xf numFmtId="0" fontId="59" fillId="0" borderId="65" xfId="0" applyFont="1" applyBorder="1" applyAlignment="1">
      <alignment horizontal="center" vertical="center" wrapText="1"/>
    </xf>
    <xf numFmtId="0" fontId="1" fillId="0" borderId="66" xfId="0" applyFont="1" applyBorder="1" applyAlignment="1">
      <alignment wrapText="1"/>
    </xf>
    <xf numFmtId="0" fontId="59" fillId="0" borderId="66" xfId="0" applyFont="1" applyBorder="1" applyAlignment="1">
      <alignment vertical="center" wrapText="1"/>
    </xf>
    <xf numFmtId="0" fontId="59" fillId="0" borderId="67" xfId="0" applyFont="1" applyBorder="1" applyAlignment="1">
      <alignment horizontal="center" vertical="center" wrapText="1"/>
    </xf>
    <xf numFmtId="0" fontId="59" fillId="0" borderId="68" xfId="0" applyFont="1" applyBorder="1" applyAlignment="1">
      <alignment vertical="center"/>
    </xf>
    <xf numFmtId="0" fontId="60" fillId="12" borderId="0" xfId="0" applyFont="1" applyFill="1" applyBorder="1" applyAlignment="1">
      <alignment vertical="center" wrapText="1"/>
    </xf>
    <xf numFmtId="0" fontId="59" fillId="0" borderId="69" xfId="0" applyFont="1" applyBorder="1" applyAlignment="1">
      <alignment vertical="center"/>
    </xf>
    <xf numFmtId="0" fontId="59" fillId="0" borderId="70" xfId="0" applyFont="1" applyBorder="1" applyAlignment="1">
      <alignment vertical="center"/>
    </xf>
    <xf numFmtId="0" fontId="59" fillId="0" borderId="71" xfId="0" applyFont="1" applyBorder="1" applyAlignment="1">
      <alignment vertical="center"/>
    </xf>
    <xf numFmtId="0" fontId="59" fillId="0" borderId="72" xfId="0" applyFont="1" applyBorder="1" applyAlignment="1">
      <alignment horizontal="center" vertical="center" wrapText="1"/>
    </xf>
    <xf numFmtId="0" fontId="59" fillId="0" borderId="73" xfId="0" applyFont="1" applyBorder="1" applyAlignment="1">
      <alignment vertical="center"/>
    </xf>
    <xf numFmtId="0" fontId="59" fillId="0" borderId="74" xfId="0" applyFont="1" applyBorder="1" applyAlignment="1">
      <alignment vertical="center" wrapText="1"/>
    </xf>
    <xf numFmtId="0" fontId="59" fillId="0" borderId="75" xfId="0" applyFont="1" applyBorder="1" applyAlignment="1">
      <alignment horizontal="center" vertical="center" wrapText="1"/>
    </xf>
    <xf numFmtId="0" fontId="57" fillId="10" borderId="22" xfId="0" applyFont="1" applyFill="1" applyBorder="1" applyAlignment="1">
      <alignment vertical="center"/>
    </xf>
    <xf numFmtId="0" fontId="62" fillId="0" borderId="40" xfId="2" applyFont="1" applyFill="1" applyBorder="1" applyAlignment="1">
      <alignment wrapText="1"/>
    </xf>
    <xf numFmtId="0" fontId="59" fillId="0" borderId="79" xfId="0" applyFont="1" applyBorder="1" applyAlignment="1">
      <alignment vertical="center"/>
    </xf>
    <xf numFmtId="0" fontId="62" fillId="0" borderId="80" xfId="2" applyFont="1" applyFill="1" applyBorder="1" applyAlignment="1">
      <alignment wrapText="1"/>
    </xf>
    <xf numFmtId="0" fontId="4" fillId="0" borderId="0" xfId="2" applyFont="1" applyFill="1" applyAlignment="1">
      <alignment vertical="center"/>
    </xf>
    <xf numFmtId="0" fontId="64" fillId="13" borderId="81" xfId="0" applyFont="1" applyFill="1" applyBorder="1" applyAlignment="1">
      <alignment horizontal="center" vertical="center"/>
    </xf>
    <xf numFmtId="0" fontId="64" fillId="13" borderId="9" xfId="0" applyFont="1" applyFill="1" applyBorder="1" applyAlignment="1">
      <alignment horizontal="center" vertical="center"/>
    </xf>
    <xf numFmtId="0" fontId="64" fillId="13" borderId="5" xfId="0" applyFont="1" applyFill="1" applyBorder="1" applyAlignment="1">
      <alignment horizontal="center" vertical="center"/>
    </xf>
    <xf numFmtId="0" fontId="64" fillId="13" borderId="28" xfId="0" applyFont="1" applyFill="1" applyBorder="1" applyAlignment="1">
      <alignment horizontal="center" vertical="center"/>
    </xf>
    <xf numFmtId="0" fontId="64" fillId="13" borderId="4" xfId="0" applyFont="1" applyFill="1" applyBorder="1" applyAlignment="1">
      <alignment horizontal="center" vertical="center"/>
    </xf>
    <xf numFmtId="0" fontId="30" fillId="7" borderId="22" xfId="2" applyFont="1" applyFill="1" applyBorder="1" applyAlignment="1">
      <alignment horizontal="center" vertical="center" wrapText="1"/>
    </xf>
    <xf numFmtId="0" fontId="31" fillId="7" borderId="23" xfId="0" applyFont="1" applyFill="1" applyBorder="1" applyAlignment="1">
      <alignment horizontal="center" vertical="center"/>
    </xf>
    <xf numFmtId="0" fontId="31" fillId="7" borderId="24" xfId="0" applyFont="1" applyFill="1" applyBorder="1" applyAlignment="1">
      <alignment horizontal="center" vertical="center"/>
    </xf>
    <xf numFmtId="0" fontId="12" fillId="0" borderId="9" xfId="2" applyFont="1" applyFill="1" applyBorder="1" applyAlignment="1">
      <alignment horizontal="center" vertical="center"/>
    </xf>
    <xf numFmtId="0" fontId="12" fillId="0" borderId="5" xfId="2" applyFont="1" applyFill="1" applyBorder="1" applyAlignment="1">
      <alignment horizontal="center" vertical="center"/>
    </xf>
    <xf numFmtId="0" fontId="12" fillId="0" borderId="28" xfId="2" applyFont="1" applyFill="1" applyBorder="1" applyAlignment="1">
      <alignment horizontal="center" vertical="center"/>
    </xf>
    <xf numFmtId="0" fontId="4" fillId="0" borderId="31" xfId="2" applyFont="1" applyFill="1" applyBorder="1" applyAlignment="1">
      <alignment horizontal="center" vertical="center" wrapText="1"/>
    </xf>
    <xf numFmtId="0" fontId="4" fillId="0" borderId="30" xfId="2" applyFont="1" applyFill="1" applyBorder="1" applyAlignment="1">
      <alignment horizontal="center" vertical="center" wrapText="1"/>
    </xf>
    <xf numFmtId="0" fontId="4" fillId="0" borderId="34" xfId="2" applyFont="1" applyFill="1" applyBorder="1" applyAlignment="1">
      <alignment horizontal="center" vertical="center" wrapText="1"/>
    </xf>
    <xf numFmtId="0" fontId="4" fillId="0" borderId="35" xfId="2" applyFont="1" applyFill="1" applyBorder="1" applyAlignment="1">
      <alignment horizontal="center" vertical="center" wrapText="1"/>
    </xf>
    <xf numFmtId="0" fontId="4" fillId="0" borderId="9" xfId="2" applyFont="1" applyFill="1" applyBorder="1" applyAlignment="1">
      <alignment horizontal="center" vertical="center" wrapText="1"/>
    </xf>
    <xf numFmtId="0" fontId="4" fillId="0" borderId="5" xfId="2" applyFont="1" applyFill="1" applyBorder="1" applyAlignment="1">
      <alignment horizontal="center" vertical="center" wrapText="1"/>
    </xf>
    <xf numFmtId="0" fontId="4" fillId="0" borderId="28" xfId="2" applyFont="1" applyFill="1" applyBorder="1" applyAlignment="1">
      <alignment horizontal="center" vertical="center" wrapText="1"/>
    </xf>
    <xf numFmtId="0" fontId="4" fillId="0" borderId="10" xfId="2" applyFont="1" applyFill="1" applyBorder="1" applyAlignment="1">
      <alignment horizontal="center" vertical="top" wrapText="1"/>
    </xf>
    <xf numFmtId="0" fontId="4" fillId="0" borderId="36" xfId="2" applyFont="1" applyFill="1" applyBorder="1" applyAlignment="1">
      <alignment horizontal="center" vertical="top" wrapText="1"/>
    </xf>
    <xf numFmtId="0" fontId="4" fillId="0" borderId="17" xfId="2" applyFont="1" applyFill="1" applyBorder="1" applyAlignment="1">
      <alignment horizontal="center" vertical="top" wrapText="1"/>
    </xf>
    <xf numFmtId="0" fontId="36" fillId="0" borderId="1" xfId="2" applyNumberFormat="1" applyFont="1" applyFill="1" applyBorder="1" applyAlignment="1">
      <alignment horizontal="center"/>
    </xf>
    <xf numFmtId="0" fontId="36" fillId="0" borderId="2" xfId="2" applyNumberFormat="1" applyFont="1" applyFill="1" applyBorder="1" applyAlignment="1">
      <alignment horizontal="center"/>
    </xf>
    <xf numFmtId="0" fontId="3" fillId="0" borderId="2" xfId="2" applyFont="1" applyFill="1" applyBorder="1" applyAlignment="1">
      <alignment vertical="center" wrapText="1"/>
    </xf>
    <xf numFmtId="0" fontId="2" fillId="0" borderId="2" xfId="2" applyBorder="1" applyAlignment="1">
      <alignment vertical="center"/>
    </xf>
    <xf numFmtId="0" fontId="2" fillId="0" borderId="3" xfId="2" applyBorder="1" applyAlignment="1">
      <alignment vertical="center"/>
    </xf>
    <xf numFmtId="0" fontId="5" fillId="0" borderId="29" xfId="2" applyFont="1" applyFill="1" applyBorder="1" applyAlignment="1"/>
    <xf numFmtId="0" fontId="6" fillId="0" borderId="11" xfId="2" applyFont="1" applyBorder="1" applyAlignment="1"/>
    <xf numFmtId="0" fontId="6" fillId="0" borderId="46" xfId="2" applyFont="1" applyBorder="1" applyAlignment="1"/>
    <xf numFmtId="0" fontId="32" fillId="2" borderId="22" xfId="2" applyFont="1" applyFill="1" applyBorder="1" applyAlignment="1">
      <alignment horizontal="center" vertical="center"/>
    </xf>
    <xf numFmtId="0" fontId="34" fillId="2" borderId="23" xfId="2" applyFont="1" applyFill="1" applyBorder="1" applyAlignment="1">
      <alignment horizontal="center" vertical="center"/>
    </xf>
    <xf numFmtId="0" fontId="35" fillId="2" borderId="23" xfId="2" applyFont="1" applyFill="1" applyBorder="1" applyAlignment="1">
      <alignment horizontal="center" vertical="center"/>
    </xf>
    <xf numFmtId="0" fontId="35" fillId="2" borderId="24" xfId="2" applyFont="1" applyFill="1" applyBorder="1" applyAlignment="1">
      <alignment horizontal="center" vertical="center"/>
    </xf>
    <xf numFmtId="0" fontId="7" fillId="0" borderId="9" xfId="2" applyFont="1" applyFill="1" applyBorder="1" applyAlignment="1">
      <alignment horizontal="left" wrapText="1"/>
    </xf>
    <xf numFmtId="0" fontId="2" fillId="0" borderId="5" xfId="2" applyBorder="1" applyAlignment="1"/>
    <xf numFmtId="0" fontId="2" fillId="0" borderId="6" xfId="2" applyBorder="1" applyAlignment="1"/>
    <xf numFmtId="0" fontId="7" fillId="0" borderId="9" xfId="3" applyFont="1" applyFill="1" applyBorder="1" applyAlignment="1" applyProtection="1">
      <alignment horizontal="left" wrapText="1"/>
      <protection locked="0"/>
    </xf>
    <xf numFmtId="0" fontId="8" fillId="0" borderId="5" xfId="3" applyBorder="1" applyAlignment="1" applyProtection="1">
      <protection locked="0"/>
    </xf>
    <xf numFmtId="0" fontId="8" fillId="0" borderId="6" xfId="3" applyBorder="1" applyAlignment="1" applyProtection="1">
      <protection locked="0"/>
    </xf>
    <xf numFmtId="0" fontId="8" fillId="0" borderId="11" xfId="3" applyBorder="1" applyAlignment="1" applyProtection="1">
      <protection locked="0"/>
    </xf>
    <xf numFmtId="0" fontId="9" fillId="3" borderId="12" xfId="3" applyFont="1" applyFill="1" applyBorder="1" applyAlignment="1" applyProtection="1">
      <alignment horizontal="center" vertical="center" wrapText="1"/>
      <protection locked="0"/>
    </xf>
    <xf numFmtId="0" fontId="9" fillId="3" borderId="13" xfId="3" applyFont="1" applyFill="1" applyBorder="1" applyAlignment="1" applyProtection="1">
      <alignment horizontal="center" vertical="center" wrapText="1"/>
      <protection locked="0"/>
    </xf>
    <xf numFmtId="0" fontId="9" fillId="3" borderId="14" xfId="3" applyFont="1" applyFill="1" applyBorder="1" applyAlignment="1" applyProtection="1">
      <alignment horizontal="center" vertical="center" wrapText="1"/>
      <protection locked="0"/>
    </xf>
    <xf numFmtId="0" fontId="9" fillId="3" borderId="16" xfId="3" applyFont="1" applyFill="1" applyBorder="1" applyAlignment="1" applyProtection="1">
      <alignment horizontal="center" vertical="center" wrapText="1"/>
      <protection locked="0"/>
    </xf>
    <xf numFmtId="0" fontId="9" fillId="3" borderId="0" xfId="3" applyFont="1" applyFill="1" applyBorder="1" applyAlignment="1" applyProtection="1">
      <alignment horizontal="center" vertical="center" wrapText="1"/>
      <protection locked="0"/>
    </xf>
    <xf numFmtId="0" fontId="9" fillId="3" borderId="15" xfId="3" applyFont="1" applyFill="1" applyBorder="1" applyAlignment="1" applyProtection="1">
      <alignment horizontal="center" vertical="center" wrapText="1"/>
      <protection locked="0"/>
    </xf>
    <xf numFmtId="0" fontId="9" fillId="3" borderId="18" xfId="3" applyFont="1" applyFill="1" applyBorder="1" applyAlignment="1" applyProtection="1">
      <alignment horizontal="center" vertical="center" wrapText="1"/>
      <protection locked="0"/>
    </xf>
    <xf numFmtId="0" fontId="9" fillId="3" borderId="19" xfId="3" applyFont="1" applyFill="1" applyBorder="1" applyAlignment="1" applyProtection="1">
      <alignment horizontal="center" vertical="center" wrapText="1"/>
      <protection locked="0"/>
    </xf>
    <xf numFmtId="0" fontId="9" fillId="3" borderId="20" xfId="3" applyFont="1" applyFill="1" applyBorder="1" applyAlignment="1" applyProtection="1">
      <alignment horizontal="center" vertical="center" wrapText="1"/>
      <protection locked="0"/>
    </xf>
    <xf numFmtId="0" fontId="7" fillId="0" borderId="8" xfId="3" applyFont="1" applyFill="1" applyBorder="1" applyAlignment="1" applyProtection="1">
      <alignment horizontal="left" vertical="top" wrapText="1"/>
      <protection locked="0"/>
    </xf>
    <xf numFmtId="0" fontId="8" fillId="0" borderId="8" xfId="3" applyFill="1" applyBorder="1" applyAlignment="1" applyProtection="1">
      <protection locked="0"/>
    </xf>
    <xf numFmtId="0" fontId="8" fillId="0" borderId="40" xfId="3" applyFill="1" applyBorder="1" applyAlignment="1" applyProtection="1">
      <protection locked="0"/>
    </xf>
    <xf numFmtId="0" fontId="4" fillId="0" borderId="33" xfId="2" applyFont="1" applyFill="1" applyBorder="1" applyAlignment="1">
      <alignment horizontal="center" vertical="center" wrapText="1"/>
    </xf>
    <xf numFmtId="0" fontId="46" fillId="0" borderId="27" xfId="2" applyFont="1" applyFill="1" applyBorder="1" applyAlignment="1">
      <alignment horizontal="center" vertical="center" textRotation="90" wrapText="1"/>
    </xf>
    <xf numFmtId="0" fontId="46" fillId="0" borderId="25" xfId="2" applyFont="1" applyFill="1" applyBorder="1" applyAlignment="1">
      <alignment horizontal="center" vertical="center" textRotation="90" wrapText="1"/>
    </xf>
    <xf numFmtId="0" fontId="46" fillId="0" borderId="26" xfId="2" applyFont="1" applyFill="1" applyBorder="1" applyAlignment="1">
      <alignment horizontal="center" vertical="center" textRotation="90" wrapText="1"/>
    </xf>
    <xf numFmtId="0" fontId="4" fillId="0" borderId="32" xfId="2" applyFont="1" applyFill="1" applyBorder="1" applyAlignment="1">
      <alignment horizontal="center" vertical="top" wrapText="1"/>
    </xf>
    <xf numFmtId="0" fontId="4" fillId="0" borderId="0" xfId="2" applyFont="1" applyFill="1" applyBorder="1" applyAlignment="1">
      <alignment horizontal="center" vertical="top" wrapText="1"/>
    </xf>
    <xf numFmtId="0" fontId="45" fillId="7" borderId="27" xfId="2" applyFont="1" applyFill="1" applyBorder="1" applyAlignment="1">
      <alignment horizontal="center" vertical="center" wrapText="1"/>
    </xf>
    <xf numFmtId="0" fontId="45" fillId="7" borderId="26" xfId="2" applyFont="1" applyFill="1" applyBorder="1" applyAlignment="1">
      <alignment horizontal="center" vertical="center" wrapText="1"/>
    </xf>
    <xf numFmtId="0" fontId="4" fillId="0" borderId="6" xfId="2" applyFont="1" applyFill="1" applyBorder="1" applyAlignment="1">
      <alignment horizontal="center" vertical="center" wrapText="1"/>
    </xf>
    <xf numFmtId="0" fontId="7" fillId="0" borderId="10" xfId="1" applyNumberFormat="1" applyFont="1" applyFill="1" applyBorder="1" applyAlignment="1">
      <alignment horizontal="center" wrapText="1"/>
    </xf>
    <xf numFmtId="0" fontId="7" fillId="0" borderId="39" xfId="1" applyNumberFormat="1" applyFont="1" applyFill="1" applyBorder="1" applyAlignment="1">
      <alignment horizontal="center" wrapText="1"/>
    </xf>
    <xf numFmtId="0" fontId="47" fillId="7" borderId="27" xfId="2" applyFont="1" applyFill="1" applyBorder="1" applyAlignment="1">
      <alignment horizontal="center" vertical="center" wrapText="1"/>
    </xf>
    <xf numFmtId="0" fontId="47" fillId="7" borderId="26" xfId="2" applyFont="1" applyFill="1" applyBorder="1" applyAlignment="1">
      <alignment horizontal="center" vertical="center" wrapText="1"/>
    </xf>
    <xf numFmtId="0" fontId="4" fillId="0" borderId="31" xfId="2" applyFont="1" applyFill="1" applyBorder="1" applyAlignment="1">
      <alignment horizontal="left" vertical="center" wrapText="1"/>
    </xf>
    <xf numFmtId="0" fontId="4" fillId="0" borderId="34" xfId="2" applyFont="1" applyFill="1" applyBorder="1" applyAlignment="1">
      <alignment horizontal="left" vertical="center" wrapText="1"/>
    </xf>
    <xf numFmtId="0" fontId="44" fillId="8" borderId="27" xfId="2" applyFont="1" applyFill="1" applyBorder="1" applyAlignment="1">
      <alignment horizontal="center" vertical="center" wrapText="1"/>
    </xf>
    <xf numFmtId="0" fontId="44" fillId="8" borderId="25" xfId="2" applyFont="1" applyFill="1" applyBorder="1" applyAlignment="1">
      <alignment horizontal="center" vertical="center" wrapText="1"/>
    </xf>
    <xf numFmtId="0" fontId="44" fillId="8" borderId="26" xfId="2" applyFont="1" applyFill="1" applyBorder="1" applyAlignment="1">
      <alignment horizontal="center" vertical="center" wrapText="1"/>
    </xf>
    <xf numFmtId="0" fontId="4" fillId="0" borderId="38" xfId="2" applyFont="1" applyFill="1" applyBorder="1" applyAlignment="1">
      <alignment horizontal="left" vertical="top" wrapText="1"/>
    </xf>
    <xf numFmtId="0" fontId="4" fillId="0" borderId="35" xfId="2" applyFont="1" applyFill="1" applyBorder="1" applyAlignment="1">
      <alignment horizontal="left" vertical="top" wrapText="1"/>
    </xf>
    <xf numFmtId="0" fontId="44" fillId="8" borderId="53" xfId="2" applyFont="1" applyFill="1" applyBorder="1" applyAlignment="1">
      <alignment horizontal="center" vertical="center" wrapText="1"/>
    </xf>
    <xf numFmtId="0" fontId="4" fillId="0" borderId="11" xfId="2" applyFont="1" applyFill="1" applyBorder="1" applyAlignment="1">
      <alignment horizontal="center" vertical="center" wrapText="1"/>
    </xf>
    <xf numFmtId="0" fontId="4" fillId="0" borderId="49" xfId="2" applyFont="1" applyFill="1" applyBorder="1" applyAlignment="1">
      <alignment horizontal="center" vertical="center" wrapText="1"/>
    </xf>
    <xf numFmtId="0" fontId="19" fillId="0" borderId="31" xfId="3" applyFont="1" applyFill="1" applyBorder="1" applyAlignment="1" applyProtection="1">
      <alignment horizontal="center" vertical="center" wrapText="1"/>
      <protection locked="0"/>
    </xf>
    <xf numFmtId="0" fontId="19" fillId="0" borderId="11" xfId="3" applyFont="1" applyFill="1" applyBorder="1" applyAlignment="1" applyProtection="1">
      <alignment horizontal="center" vertical="center" wrapText="1"/>
      <protection locked="0"/>
    </xf>
    <xf numFmtId="0" fontId="19" fillId="0" borderId="30" xfId="3" applyFont="1" applyFill="1" applyBorder="1" applyAlignment="1" applyProtection="1">
      <alignment horizontal="center" vertical="center" wrapText="1"/>
      <protection locked="0"/>
    </xf>
    <xf numFmtId="0" fontId="19" fillId="0" borderId="48" xfId="3" applyFont="1" applyFill="1" applyBorder="1" applyAlignment="1" applyProtection="1">
      <alignment horizontal="center" vertical="center" wrapText="1"/>
      <protection locked="0"/>
    </xf>
    <xf numFmtId="0" fontId="19" fillId="0" borderId="49" xfId="3" applyFont="1" applyFill="1" applyBorder="1" applyAlignment="1" applyProtection="1">
      <alignment horizontal="center" vertical="center" wrapText="1"/>
      <protection locked="0"/>
    </xf>
    <xf numFmtId="0" fontId="19" fillId="0" borderId="52" xfId="3" applyFont="1" applyFill="1" applyBorder="1" applyAlignment="1" applyProtection="1">
      <alignment horizontal="center" vertical="center" wrapText="1"/>
      <protection locked="0"/>
    </xf>
    <xf numFmtId="0" fontId="32" fillId="8" borderId="22" xfId="2" applyFont="1" applyFill="1" applyBorder="1" applyAlignment="1">
      <alignment horizontal="center" vertical="center"/>
    </xf>
    <xf numFmtId="0" fontId="32" fillId="8" borderId="23" xfId="2" applyFont="1" applyFill="1" applyBorder="1" applyAlignment="1">
      <alignment horizontal="center" vertical="center"/>
    </xf>
    <xf numFmtId="0" fontId="33" fillId="8" borderId="23" xfId="2" applyFont="1" applyFill="1" applyBorder="1" applyAlignment="1">
      <alignment horizontal="center" vertical="center"/>
    </xf>
    <xf numFmtId="0" fontId="33" fillId="8" borderId="24" xfId="2" applyFont="1" applyFill="1" applyBorder="1" applyAlignment="1">
      <alignment horizontal="center" vertical="center"/>
    </xf>
    <xf numFmtId="0" fontId="45" fillId="7" borderId="25" xfId="2" applyFont="1" applyFill="1" applyBorder="1" applyAlignment="1">
      <alignment horizontal="center" vertical="center" wrapText="1"/>
    </xf>
    <xf numFmtId="0" fontId="4" fillId="0" borderId="10" xfId="2" applyFont="1" applyFill="1" applyBorder="1" applyAlignment="1">
      <alignment horizontal="left" vertical="center" wrapText="1"/>
    </xf>
    <xf numFmtId="0" fontId="4" fillId="0" borderId="17" xfId="2" applyFont="1" applyFill="1" applyBorder="1" applyAlignment="1">
      <alignment horizontal="left" vertical="center" wrapText="1"/>
    </xf>
    <xf numFmtId="0" fontId="28" fillId="7" borderId="22" xfId="2" applyFont="1" applyFill="1" applyBorder="1" applyAlignment="1">
      <alignment horizontal="center" vertical="center" wrapText="1"/>
    </xf>
    <xf numFmtId="0" fontId="28" fillId="7" borderId="23" xfId="2" applyFont="1" applyFill="1" applyBorder="1" applyAlignment="1">
      <alignment horizontal="center" vertical="center" wrapText="1"/>
    </xf>
    <xf numFmtId="0" fontId="29" fillId="7" borderId="23" xfId="2" applyFont="1" applyFill="1" applyBorder="1" applyAlignment="1">
      <alignment horizontal="center" vertical="center"/>
    </xf>
    <xf numFmtId="0" fontId="29" fillId="7" borderId="24" xfId="2" applyFont="1" applyFill="1" applyBorder="1" applyAlignment="1">
      <alignment horizontal="center" vertical="center"/>
    </xf>
    <xf numFmtId="0" fontId="12" fillId="0" borderId="34" xfId="2" applyFont="1" applyFill="1" applyBorder="1" applyAlignment="1">
      <alignment horizontal="center" vertical="center"/>
    </xf>
    <xf numFmtId="0" fontId="12" fillId="0" borderId="38" xfId="2" applyFont="1" applyFill="1" applyBorder="1" applyAlignment="1">
      <alignment horizontal="center" vertical="center"/>
    </xf>
    <xf numFmtId="0" fontId="12" fillId="0" borderId="35" xfId="2" applyFont="1" applyFill="1" applyBorder="1" applyAlignment="1">
      <alignment horizontal="center" vertical="center"/>
    </xf>
    <xf numFmtId="0" fontId="4" fillId="0" borderId="10" xfId="2" applyFont="1" applyFill="1" applyBorder="1" applyAlignment="1">
      <alignment horizontal="center" vertical="center" wrapText="1"/>
    </xf>
    <xf numFmtId="0" fontId="4" fillId="0" borderId="36" xfId="2" applyFont="1" applyFill="1" applyBorder="1" applyAlignment="1">
      <alignment horizontal="center" vertical="center" wrapText="1"/>
    </xf>
    <xf numFmtId="0" fontId="4" fillId="0" borderId="17" xfId="2" applyFont="1" applyFill="1" applyBorder="1" applyAlignment="1">
      <alignment horizontal="center" vertical="center" wrapText="1"/>
    </xf>
    <xf numFmtId="0" fontId="48" fillId="0" borderId="27" xfId="2" applyFont="1" applyFill="1" applyBorder="1" applyAlignment="1">
      <alignment horizontal="center" vertical="center" textRotation="90" wrapText="1"/>
    </xf>
    <xf numFmtId="0" fontId="48" fillId="0" borderId="25" xfId="2" applyFont="1" applyFill="1" applyBorder="1" applyAlignment="1">
      <alignment horizontal="center" vertical="center" textRotation="90" wrapText="1"/>
    </xf>
    <xf numFmtId="0" fontId="48" fillId="0" borderId="26" xfId="2" applyFont="1" applyFill="1" applyBorder="1" applyAlignment="1">
      <alignment horizontal="center" vertical="center" textRotation="90" wrapText="1"/>
    </xf>
    <xf numFmtId="0" fontId="47" fillId="7" borderId="25" xfId="2" applyFont="1" applyFill="1" applyBorder="1" applyAlignment="1">
      <alignment horizontal="center" vertical="center" wrapText="1"/>
    </xf>
    <xf numFmtId="0" fontId="40" fillId="4" borderId="9" xfId="2" applyFont="1" applyFill="1" applyBorder="1" applyAlignment="1">
      <alignment horizontal="center"/>
    </xf>
    <xf numFmtId="0" fontId="40" fillId="4" borderId="5" xfId="2" applyFont="1" applyFill="1" applyBorder="1" applyAlignment="1">
      <alignment horizontal="center"/>
    </xf>
    <xf numFmtId="0" fontId="40" fillId="4" borderId="28" xfId="2" applyFont="1" applyFill="1" applyBorder="1" applyAlignment="1">
      <alignment horizontal="center"/>
    </xf>
    <xf numFmtId="0" fontId="6" fillId="4" borderId="0" xfId="2" applyFont="1" applyFill="1" applyBorder="1" applyAlignment="1">
      <alignment horizontal="left" vertical="center" wrapText="1"/>
    </xf>
    <xf numFmtId="0" fontId="50" fillId="6" borderId="27" xfId="2" applyFont="1" applyFill="1" applyBorder="1" applyAlignment="1">
      <alignment horizontal="center" vertical="center" wrapText="1"/>
    </xf>
    <xf numFmtId="0" fontId="50" fillId="6" borderId="53" xfId="2" applyFont="1" applyFill="1" applyBorder="1" applyAlignment="1">
      <alignment horizontal="center" vertical="center" wrapText="1"/>
    </xf>
    <xf numFmtId="0" fontId="49" fillId="7" borderId="27" xfId="2" applyFont="1" applyFill="1" applyBorder="1" applyAlignment="1">
      <alignment horizontal="center" vertical="center" wrapText="1"/>
    </xf>
    <xf numFmtId="0" fontId="49" fillId="7" borderId="26" xfId="2" applyFont="1" applyFill="1" applyBorder="1" applyAlignment="1">
      <alignment horizontal="center" vertical="center" wrapText="1"/>
    </xf>
    <xf numFmtId="0" fontId="2" fillId="4" borderId="38" xfId="2" applyFill="1" applyBorder="1" applyAlignment="1">
      <alignment horizontal="center"/>
    </xf>
    <xf numFmtId="0" fontId="2" fillId="4" borderId="11" xfId="2" applyFill="1" applyBorder="1" applyAlignment="1">
      <alignment horizontal="center"/>
    </xf>
    <xf numFmtId="0" fontId="62" fillId="0" borderId="8" xfId="2" applyFont="1" applyFill="1" applyBorder="1" applyAlignment="1">
      <alignment horizontal="center" vertical="center" wrapText="1"/>
    </xf>
    <xf numFmtId="0" fontId="62" fillId="0" borderId="21" xfId="2" applyFont="1" applyFill="1" applyBorder="1" applyAlignment="1">
      <alignment horizontal="center" vertical="center" wrapText="1"/>
    </xf>
    <xf numFmtId="0" fontId="64" fillId="13" borderId="76" xfId="0" applyFont="1" applyFill="1" applyBorder="1" applyAlignment="1">
      <alignment horizontal="center" vertical="center"/>
    </xf>
    <xf numFmtId="0" fontId="64" fillId="13" borderId="77" xfId="0" applyFont="1" applyFill="1" applyBorder="1" applyAlignment="1">
      <alignment horizontal="center" vertical="center"/>
    </xf>
    <xf numFmtId="0" fontId="64" fillId="13" borderId="78" xfId="0" applyFont="1" applyFill="1" applyBorder="1" applyAlignment="1">
      <alignment horizontal="center" vertical="center"/>
    </xf>
    <xf numFmtId="0" fontId="65" fillId="5" borderId="29" xfId="2" applyFont="1" applyFill="1" applyBorder="1" applyAlignment="1">
      <alignment horizontal="center" vertical="center" wrapText="1"/>
    </xf>
    <xf numFmtId="0" fontId="65" fillId="5" borderId="11" xfId="2" applyFont="1" applyFill="1" applyBorder="1" applyAlignment="1">
      <alignment horizontal="center" vertical="center" wrapText="1"/>
    </xf>
    <xf numFmtId="0" fontId="65" fillId="5" borderId="46" xfId="2" applyFont="1" applyFill="1" applyBorder="1" applyAlignment="1">
      <alignment horizontal="center" vertical="center" wrapText="1"/>
    </xf>
    <xf numFmtId="0" fontId="66" fillId="5" borderId="29" xfId="2" applyFont="1" applyFill="1" applyBorder="1" applyAlignment="1">
      <alignment horizontal="center" vertical="center" wrapText="1"/>
    </xf>
    <xf numFmtId="0" fontId="66" fillId="5" borderId="16" xfId="2" applyFont="1" applyFill="1" applyBorder="1" applyAlignment="1">
      <alignment horizontal="center" vertical="center" wrapText="1"/>
    </xf>
    <xf numFmtId="0" fontId="66" fillId="5" borderId="18" xfId="2" applyFont="1" applyFill="1" applyBorder="1" applyAlignment="1">
      <alignment horizontal="center" vertical="center" wrapText="1"/>
    </xf>
    <xf numFmtId="0" fontId="21" fillId="0" borderId="11" xfId="2" applyFont="1" applyFill="1" applyBorder="1" applyAlignment="1">
      <alignment horizontal="center" vertical="center" wrapText="1"/>
    </xf>
    <xf numFmtId="0" fontId="21" fillId="0" borderId="0" xfId="2" applyFont="1" applyFill="1" applyBorder="1" applyAlignment="1">
      <alignment horizontal="center" vertical="center" wrapText="1"/>
    </xf>
    <xf numFmtId="0" fontId="21" fillId="0" borderId="19" xfId="2" applyFont="1" applyFill="1" applyBorder="1" applyAlignment="1">
      <alignment horizontal="center" vertical="center" wrapText="1"/>
    </xf>
    <xf numFmtId="0" fontId="7" fillId="0" borderId="31" xfId="3" applyFont="1" applyFill="1" applyBorder="1" applyAlignment="1" applyProtection="1">
      <alignment horizontal="center" vertical="center" wrapText="1"/>
      <protection locked="0"/>
    </xf>
    <xf numFmtId="0" fontId="7" fillId="0" borderId="30" xfId="3" applyFont="1" applyFill="1" applyBorder="1" applyAlignment="1" applyProtection="1">
      <alignment horizontal="center" vertical="center" wrapText="1"/>
      <protection locked="0"/>
    </xf>
    <xf numFmtId="0" fontId="7" fillId="0" borderId="32" xfId="3" applyFont="1" applyFill="1" applyBorder="1" applyAlignment="1" applyProtection="1">
      <alignment horizontal="center" vertical="center" wrapText="1"/>
      <protection locked="0"/>
    </xf>
    <xf numFmtId="0" fontId="7" fillId="0" borderId="33" xfId="3" applyFont="1" applyFill="1" applyBorder="1" applyAlignment="1" applyProtection="1">
      <alignment horizontal="center" vertical="center" wrapText="1"/>
      <protection locked="0"/>
    </xf>
    <xf numFmtId="0" fontId="7" fillId="0" borderId="41" xfId="3" applyFont="1" applyFill="1" applyBorder="1" applyAlignment="1" applyProtection="1">
      <alignment horizontal="center" vertical="center" wrapText="1"/>
      <protection locked="0"/>
    </xf>
    <xf numFmtId="0" fontId="7" fillId="0" borderId="42" xfId="3" applyFont="1" applyFill="1" applyBorder="1" applyAlignment="1" applyProtection="1">
      <alignment horizontal="center" vertical="center" wrapText="1"/>
      <protection locked="0"/>
    </xf>
    <xf numFmtId="0" fontId="7" fillId="0" borderId="46" xfId="3" applyFont="1" applyFill="1" applyBorder="1" applyAlignment="1" applyProtection="1">
      <alignment horizontal="center" vertical="center" wrapText="1"/>
      <protection locked="0"/>
    </xf>
    <xf numFmtId="0" fontId="7" fillId="0" borderId="15" xfId="3" applyFont="1" applyFill="1" applyBorder="1" applyAlignment="1" applyProtection="1">
      <alignment horizontal="center" vertical="center" wrapText="1"/>
      <protection locked="0"/>
    </xf>
    <xf numFmtId="0" fontId="7" fillId="0" borderId="20" xfId="3" applyFont="1" applyFill="1" applyBorder="1" applyAlignment="1" applyProtection="1">
      <alignment horizontal="center" vertical="center" wrapText="1"/>
      <protection locked="0"/>
    </xf>
    <xf numFmtId="0" fontId="61" fillId="0" borderId="8" xfId="0" applyFont="1" applyBorder="1" applyAlignment="1">
      <alignment horizontal="center" vertical="center" wrapText="1"/>
    </xf>
    <xf numFmtId="0" fontId="61" fillId="0" borderId="21" xfId="0" applyFont="1" applyBorder="1" applyAlignment="1">
      <alignment horizontal="center" vertical="center" wrapText="1"/>
    </xf>
    <xf numFmtId="0" fontId="63" fillId="13" borderId="27" xfId="2" applyFont="1" applyFill="1" applyBorder="1" applyAlignment="1">
      <alignment horizontal="center" vertical="center"/>
    </xf>
    <xf numFmtId="0" fontId="63" fillId="13" borderId="25" xfId="2" applyFont="1" applyFill="1" applyBorder="1" applyAlignment="1">
      <alignment horizontal="center" vertical="center"/>
    </xf>
    <xf numFmtId="0" fontId="63" fillId="13" borderId="53" xfId="2" applyFont="1" applyFill="1" applyBorder="1" applyAlignment="1">
      <alignment horizontal="center" vertical="center"/>
    </xf>
    <xf numFmtId="0" fontId="62" fillId="0" borderId="8" xfId="2" applyFont="1" applyFill="1" applyBorder="1" applyAlignment="1">
      <alignment horizontal="left" vertical="center" wrapText="1"/>
    </xf>
    <xf numFmtId="0" fontId="62" fillId="0" borderId="21" xfId="2" applyFont="1" applyFill="1" applyBorder="1" applyAlignment="1">
      <alignment horizontal="left" vertical="center" wrapText="1"/>
    </xf>
  </cellXfs>
  <cellStyles count="7">
    <cellStyle name="Обычный" xfId="0" builtinId="0"/>
    <cellStyle name="Обычный 2" xfId="2"/>
    <cellStyle name="Обычный 2 2" xfId="3"/>
    <cellStyle name="Обычный 3" xfId="6"/>
    <cellStyle name="Обычный_Доходность_по_каналам_сбыта_1пол_2003" xfId="4"/>
    <cellStyle name="Процентный" xfId="1" builtinId="5"/>
    <cellStyle name="Процентный 2" xfId="5"/>
  </cellStyles>
  <dxfs count="0"/>
  <tableStyles count="0" defaultTableStyle="TableStyleMedium2" defaultPivotStyle="PivotStyleLight16"/>
  <colors>
    <mruColors>
      <color rgb="FFC92929"/>
      <color rgb="FF0000FF"/>
      <color rgb="FFC7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ma\PROJECTS\DATA\Analytics\SRF\SRF%202002%20by%20SKU_region%20FINAL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/TEMP/$WC/Model%20TDD%2020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/Work/Russia/RU%20Tariffs%20Jan'05/Models/Model%20DOM%20EndDay%20200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/My%20Documents/pricing/2004_brochure/Published%20Rates%20in%20WB%20Forma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/Work/Pricing/Pricing%20Model/Tariffs%202001/Tariff%20For%20Billing/model_dom_sib_20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/Work/RU%20Tariffs%20Oct'01/Communication%20Pack/model_dom_sib_20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/Work/Russia/RU%20Tariffs%20Jan'04/Tariff%20Files/Tariff%20Brochure%20EURRU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tsupa\Desktop\&#1050;&#1072;&#1083;&#1100;&#1082;&#1091;&#1083;&#1103;&#1090;&#1086;&#1088;%203PL%20&#1086;&#1090;%2024.08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plotnikova01\Desktop\&#1083;&#1086;&#1073;&#1086;&#1074;&#1099;&#1077;\&#1053;&#1054;&#1071;&#1041;&#1056;&#1068;%20&#1055;&#1045;&#1056;&#1045;&#1057;&#1063;&#1045;&#1058;\&#1041;&#1099;&#1082;&#1086;&#1074;&#1086;\&#1058;&#1069;&#1054;%20&#1051;&#1086;&#1073;&#1086;&#1074;&#1099;&#1077;%20&#1090;&#1072;&#1088;&#1080;&#1092;&#1099;%20&#1041;&#1099;&#1082;&#1086;&#1074;&#1086;%20&#1042;&#1093;&#1086;&#1076;%20-%20&#1092;&#1091;&#1088;&#1072;,%20&#1042;&#1099;&#1093;&#1086;&#1076;%20-%20&#1052;&#1050;&#105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RF2002 Total"/>
      <sheetName val="CentralPickUp"/>
      <sheetName val="Central"/>
      <sheetName val="CentralV"/>
      <sheetName val="NorthWest"/>
      <sheetName val="UpperVolga"/>
      <sheetName val="Urals"/>
      <sheetName val="South"/>
      <sheetName val="LowerVolga"/>
      <sheetName val="Siberia"/>
      <sheetName val="FarEast"/>
      <sheetName val="ExportCIS"/>
      <sheetName val="Показатели"/>
      <sheetName val="Исх дан"/>
      <sheetName val="Лист3"/>
    </sheetNames>
    <sheetDataSet>
      <sheetData sheetId="0">
        <row r="7">
          <cell r="E7">
            <v>1.794</v>
          </cell>
        </row>
      </sheetData>
      <sheetData sheetId="1"/>
      <sheetData sheetId="2" refreshError="1">
        <row r="7">
          <cell r="E7">
            <v>1.794</v>
          </cell>
          <cell r="F7">
            <v>3.42</v>
          </cell>
          <cell r="G7">
            <v>1.3680000000000001</v>
          </cell>
          <cell r="H7">
            <v>1.2354578222853503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E8">
            <v>0</v>
          </cell>
          <cell r="F8">
            <v>6.7110000000000003</v>
          </cell>
          <cell r="G8">
            <v>4.32</v>
          </cell>
          <cell r="H8">
            <v>5.5471739141646594</v>
          </cell>
          <cell r="I8">
            <v>4.8236294905779653</v>
          </cell>
          <cell r="J8">
            <v>3.1835954637814572</v>
          </cell>
          <cell r="K8">
            <v>3.1835954637814572</v>
          </cell>
          <cell r="L8">
            <v>3.1835954637814572</v>
          </cell>
          <cell r="M8">
            <v>4.2447939517086093</v>
          </cell>
          <cell r="N8">
            <v>4.2447939517086093</v>
          </cell>
          <cell r="O8">
            <v>5.3059924396357632</v>
          </cell>
          <cell r="P8">
            <v>5.3059924396357632</v>
          </cell>
        </row>
        <row r="9">
          <cell r="E9">
            <v>0</v>
          </cell>
          <cell r="F9">
            <v>8.0730000000000004</v>
          </cell>
          <cell r="G9">
            <v>5.5049999999999999</v>
          </cell>
          <cell r="H9">
            <v>7.4472097596531697</v>
          </cell>
          <cell r="I9">
            <v>5.8282511162503079</v>
          </cell>
          <cell r="J9">
            <v>5.6987344247780793</v>
          </cell>
          <cell r="K9">
            <v>5.6987344247780793</v>
          </cell>
          <cell r="L9">
            <v>5.6987344247780793</v>
          </cell>
          <cell r="M9">
            <v>6.6031864138203051</v>
          </cell>
          <cell r="N9">
            <v>7.1906565960533362</v>
          </cell>
          <cell r="O9">
            <v>7.1234180309725996</v>
          </cell>
          <cell r="P9">
            <v>7.1234180309725996</v>
          </cell>
        </row>
        <row r="10">
          <cell r="E10">
            <v>0</v>
          </cell>
          <cell r="F10">
            <v>7.7760000000000007</v>
          </cell>
          <cell r="G10">
            <v>4.5270000000000001</v>
          </cell>
          <cell r="H10">
            <v>4.6574564432800534</v>
          </cell>
          <cell r="I10">
            <v>4.0499621245913513</v>
          </cell>
          <cell r="J10">
            <v>2.545690478314564</v>
          </cell>
          <cell r="K10">
            <v>2.545690478314564</v>
          </cell>
          <cell r="L10">
            <v>2.545690478314564</v>
          </cell>
          <cell r="M10">
            <v>3.1821130978932057</v>
          </cell>
          <cell r="N10">
            <v>4.4549583370504875</v>
          </cell>
          <cell r="O10">
            <v>5.0913809566291279</v>
          </cell>
          <cell r="P10">
            <v>5.0913809566291279</v>
          </cell>
        </row>
        <row r="11">
          <cell r="E11">
            <v>1.944</v>
          </cell>
          <cell r="F11">
            <v>0</v>
          </cell>
          <cell r="G11">
            <v>0.64800000000000002</v>
          </cell>
          <cell r="H11">
            <v>2.1200387685290769</v>
          </cell>
          <cell r="I11">
            <v>1.4748095781071837</v>
          </cell>
          <cell r="J11">
            <v>1.6222905359179023</v>
          </cell>
          <cell r="K11">
            <v>1.6222905359179023</v>
          </cell>
          <cell r="L11">
            <v>1.2167179019384269</v>
          </cell>
          <cell r="M11">
            <v>1.2167179019384269</v>
          </cell>
          <cell r="N11">
            <v>2.0278631698973779</v>
          </cell>
          <cell r="O11">
            <v>2.4334358038768538</v>
          </cell>
          <cell r="P11">
            <v>2.4334358038768538</v>
          </cell>
        </row>
        <row r="12">
          <cell r="E12">
            <v>3.24</v>
          </cell>
          <cell r="F12">
            <v>3.24</v>
          </cell>
          <cell r="G12">
            <v>0.97199999999999998</v>
          </cell>
          <cell r="H12">
            <v>3.1173768951048948</v>
          </cell>
          <cell r="I12">
            <v>2.0330718881118881</v>
          </cell>
          <cell r="J12">
            <v>1.490919384615385</v>
          </cell>
          <cell r="K12">
            <v>1.490919384615385</v>
          </cell>
          <cell r="L12">
            <v>1.490919384615385</v>
          </cell>
          <cell r="M12">
            <v>2.98183876923077</v>
          </cell>
          <cell r="N12">
            <v>3.7272984615384619</v>
          </cell>
          <cell r="O12">
            <v>3.7272984615384619</v>
          </cell>
          <cell r="P12">
            <v>3.7272984615384619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1.7514091370558376</v>
          </cell>
          <cell r="I13">
            <v>1.5229644670050762</v>
          </cell>
          <cell r="J13">
            <v>0.83763045685279192</v>
          </cell>
          <cell r="K13">
            <v>0.83763045685279192</v>
          </cell>
          <cell r="L13">
            <v>0.83763045685279192</v>
          </cell>
          <cell r="M13">
            <v>2.0940761421319802</v>
          </cell>
          <cell r="N13">
            <v>2.0940761421319802</v>
          </cell>
          <cell r="O13">
            <v>2.5128913705583762</v>
          </cell>
          <cell r="P13">
            <v>2.5128913705583762</v>
          </cell>
        </row>
        <row r="14">
          <cell r="E14">
            <v>0</v>
          </cell>
          <cell r="F14">
            <v>0.64800000000000002</v>
          </cell>
          <cell r="G14">
            <v>0</v>
          </cell>
          <cell r="H14">
            <v>0.80124582079107831</v>
          </cell>
          <cell r="I14">
            <v>0.69673549634006815</v>
          </cell>
          <cell r="J14">
            <v>0.3832045229870375</v>
          </cell>
          <cell r="K14">
            <v>0.3832045229870375</v>
          </cell>
          <cell r="L14">
            <v>0.3832045229870375</v>
          </cell>
          <cell r="M14">
            <v>0.766409045974075</v>
          </cell>
          <cell r="N14">
            <v>0.766409045974075</v>
          </cell>
          <cell r="O14">
            <v>1.1496135689611124</v>
          </cell>
          <cell r="P14">
            <v>1.53281809194815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E18">
            <v>0</v>
          </cell>
          <cell r="F18">
            <v>0.309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23">
          <cell r="E23">
            <v>5.8406400000000005</v>
          </cell>
          <cell r="F23">
            <v>1.7279999999999998</v>
          </cell>
          <cell r="G23">
            <v>5.7081600000000003</v>
          </cell>
          <cell r="H23">
            <v>13.424727263711496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E24">
            <v>2.1081599999999998</v>
          </cell>
          <cell r="F24">
            <v>0.38016000000000005</v>
          </cell>
          <cell r="G24">
            <v>0.62208000000000008</v>
          </cell>
          <cell r="H24">
            <v>2.2378695706960761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E25">
            <v>25.416</v>
          </cell>
          <cell r="F25">
            <v>15.624000000000001</v>
          </cell>
          <cell r="G25">
            <v>15.84</v>
          </cell>
          <cell r="H25">
            <v>14.410636599397693</v>
          </cell>
          <cell r="I25">
            <v>12.530988347302344</v>
          </cell>
          <cell r="J25">
            <v>12.530988347302344</v>
          </cell>
          <cell r="K25">
            <v>12.530988347302344</v>
          </cell>
          <cell r="L25">
            <v>12.530988347302344</v>
          </cell>
          <cell r="M25">
            <v>12.530988347302344</v>
          </cell>
          <cell r="N25">
            <v>14.619486405186066</v>
          </cell>
          <cell r="O25">
            <v>14.619486405186066</v>
          </cell>
          <cell r="P25">
            <v>14.619486405186066</v>
          </cell>
        </row>
        <row r="26">
          <cell r="E26">
            <v>12.979199999999999</v>
          </cell>
          <cell r="F26">
            <v>8.1407999999999987</v>
          </cell>
          <cell r="G26">
            <v>11.059199999999999</v>
          </cell>
          <cell r="H26">
            <v>10.20632719015077</v>
          </cell>
          <cell r="I26">
            <v>6.6563003414026767</v>
          </cell>
          <cell r="J26">
            <v>6.6563003414026767</v>
          </cell>
          <cell r="K26">
            <v>6.6563003414026767</v>
          </cell>
          <cell r="L26">
            <v>8.8750671218702344</v>
          </cell>
          <cell r="M26">
            <v>8.8750671218702344</v>
          </cell>
          <cell r="N26">
            <v>8.8750671218702344</v>
          </cell>
          <cell r="O26">
            <v>8.8750671218702344</v>
          </cell>
          <cell r="P26">
            <v>11.093833902337794</v>
          </cell>
        </row>
        <row r="27">
          <cell r="E27">
            <v>8.1599999999999992E-2</v>
          </cell>
          <cell r="F27">
            <v>8.2416</v>
          </cell>
          <cell r="G27">
            <v>4.08</v>
          </cell>
          <cell r="H27">
            <v>5.4971186128112848</v>
          </cell>
          <cell r="I27">
            <v>4.7801031415750304</v>
          </cell>
          <cell r="J27">
            <v>4.7801031415750304</v>
          </cell>
          <cell r="K27">
            <v>4.7801031415750304</v>
          </cell>
          <cell r="L27">
            <v>4.7801031415750304</v>
          </cell>
          <cell r="M27">
            <v>4.7801031415750304</v>
          </cell>
          <cell r="N27">
            <v>4.7801031415750304</v>
          </cell>
          <cell r="O27">
            <v>4.7801031415750304</v>
          </cell>
          <cell r="P27">
            <v>4.7801031415750304</v>
          </cell>
        </row>
        <row r="28">
          <cell r="E28">
            <v>1.6892</v>
          </cell>
          <cell r="F28">
            <v>0.26880000000000004</v>
          </cell>
          <cell r="G28">
            <v>1.4592000000000001</v>
          </cell>
          <cell r="H28">
            <v>0.6447842622950819</v>
          </cell>
          <cell r="I28">
            <v>0.49059672131147553</v>
          </cell>
          <cell r="J28">
            <v>0.49059672131147553</v>
          </cell>
          <cell r="K28">
            <v>0.49059672131147553</v>
          </cell>
          <cell r="L28">
            <v>0.56068196721311481</v>
          </cell>
          <cell r="M28">
            <v>0.56068196721311481</v>
          </cell>
          <cell r="N28">
            <v>0.63076721311475414</v>
          </cell>
          <cell r="O28">
            <v>0.63076721311475414</v>
          </cell>
          <cell r="P28">
            <v>0.63076721311475414</v>
          </cell>
        </row>
        <row r="29">
          <cell r="E29">
            <v>0</v>
          </cell>
          <cell r="F29">
            <v>12.576000000000001</v>
          </cell>
          <cell r="G29">
            <v>4.8</v>
          </cell>
          <cell r="H29">
            <v>7.0530521222720628</v>
          </cell>
          <cell r="I29">
            <v>6.133088801975707</v>
          </cell>
          <cell r="J29">
            <v>5.2569332588363205</v>
          </cell>
          <cell r="K29">
            <v>5.432164367464198</v>
          </cell>
          <cell r="L29">
            <v>5.2569332588363205</v>
          </cell>
          <cell r="M29">
            <v>5.2569332588363205</v>
          </cell>
          <cell r="N29">
            <v>6.133088801975707</v>
          </cell>
          <cell r="O29">
            <v>7.0092443451150945</v>
          </cell>
          <cell r="P29">
            <v>7.0092443451150945</v>
          </cell>
        </row>
        <row r="30">
          <cell r="E30">
            <v>3.5255999999999998</v>
          </cell>
          <cell r="F30">
            <v>1.1519999999999999</v>
          </cell>
          <cell r="G30">
            <v>1.8708</v>
          </cell>
          <cell r="H30">
            <v>1.1888589890265708</v>
          </cell>
          <cell r="I30">
            <v>1.0337904252404966</v>
          </cell>
          <cell r="J30">
            <v>0.58150711419777934</v>
          </cell>
          <cell r="K30">
            <v>0.77534281893037249</v>
          </cell>
          <cell r="L30">
            <v>0.77534281893037249</v>
          </cell>
          <cell r="M30">
            <v>1.0337904252404966</v>
          </cell>
          <cell r="N30">
            <v>1.1630142283955587</v>
          </cell>
          <cell r="O30">
            <v>1.1630142283955587</v>
          </cell>
          <cell r="P30">
            <v>1.1630142283955587</v>
          </cell>
        </row>
        <row r="31">
          <cell r="E31">
            <v>0.3836</v>
          </cell>
          <cell r="F31">
            <v>0.65279999999999994</v>
          </cell>
          <cell r="G31">
            <v>0.18919999999999998</v>
          </cell>
          <cell r="H31">
            <v>1.1108703999999996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E32">
            <v>0</v>
          </cell>
          <cell r="F32">
            <v>2.97</v>
          </cell>
          <cell r="G32">
            <v>0.54</v>
          </cell>
          <cell r="H32">
            <v>1.264752010464423</v>
          </cell>
          <cell r="I32">
            <v>1.0997843569255854</v>
          </cell>
          <cell r="J32">
            <v>0.94267230593621598</v>
          </cell>
          <cell r="K32">
            <v>0.78556025494684678</v>
          </cell>
          <cell r="L32">
            <v>0.78556025494684678</v>
          </cell>
          <cell r="M32">
            <v>0.94267230593621598</v>
          </cell>
          <cell r="N32">
            <v>1.0997843569255854</v>
          </cell>
          <cell r="O32">
            <v>1.0997843569255854</v>
          </cell>
          <cell r="P32">
            <v>1.0997843569255854</v>
          </cell>
        </row>
        <row r="33">
          <cell r="E33">
            <v>0.90720000000000001</v>
          </cell>
          <cell r="F33">
            <v>0.2016</v>
          </cell>
          <cell r="G33">
            <v>0.7056</v>
          </cell>
          <cell r="H33">
            <v>1.5529282758620688</v>
          </cell>
          <cell r="I33">
            <v>1.3503724137931035</v>
          </cell>
          <cell r="J33">
            <v>0.78771724137931043</v>
          </cell>
          <cell r="K33">
            <v>0.90024827586206901</v>
          </cell>
          <cell r="L33">
            <v>0.90024827586206901</v>
          </cell>
          <cell r="M33">
            <v>0.90024827586206901</v>
          </cell>
          <cell r="N33">
            <v>1.3503724137931035</v>
          </cell>
          <cell r="O33">
            <v>1.3503724137931035</v>
          </cell>
          <cell r="P33">
            <v>1.3503724137931035</v>
          </cell>
        </row>
        <row r="34">
          <cell r="E34">
            <v>1.8456000000000001</v>
          </cell>
          <cell r="F34">
            <v>3.9935999999999998</v>
          </cell>
          <cell r="G34">
            <v>3.3792</v>
          </cell>
          <cell r="H34">
            <v>3.4370590896606332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E35">
            <v>8.8932000000000002</v>
          </cell>
          <cell r="F35">
            <v>7.452</v>
          </cell>
          <cell r="G35">
            <v>7.5198</v>
          </cell>
          <cell r="H35">
            <v>9.1619066659607178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E36">
            <v>1.2282</v>
          </cell>
          <cell r="F36">
            <v>1.6896</v>
          </cell>
          <cell r="G36">
            <v>2.1503999999999999</v>
          </cell>
          <cell r="H36">
            <v>0.7734268001902076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E37">
            <v>2.4978000000000002</v>
          </cell>
          <cell r="F37">
            <v>3.8087999999999997</v>
          </cell>
          <cell r="G37">
            <v>2.3184</v>
          </cell>
          <cell r="H37">
            <v>1.9898711056979723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E38">
            <v>0.13440000000000002</v>
          </cell>
          <cell r="F38">
            <v>0.4032</v>
          </cell>
          <cell r="G38">
            <v>1.5984000000000003</v>
          </cell>
          <cell r="H38">
            <v>0.81053791313659185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E39">
            <v>0.81899999999999995</v>
          </cell>
          <cell r="F39">
            <v>1.3104</v>
          </cell>
          <cell r="G39">
            <v>3.2759999999999998</v>
          </cell>
          <cell r="H39">
            <v>1.8321538786824798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</row>
        <row r="40">
          <cell r="E40">
            <v>0.63360000000000005</v>
          </cell>
          <cell r="F40">
            <v>0.15840000000000001</v>
          </cell>
          <cell r="G40">
            <v>0.63360000000000005</v>
          </cell>
          <cell r="H40">
            <v>1.0000379051666213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</row>
        <row r="41">
          <cell r="E41">
            <v>0.3276</v>
          </cell>
          <cell r="F41">
            <v>1.8018000000000001</v>
          </cell>
          <cell r="G41">
            <v>3.2760000000000002</v>
          </cell>
          <cell r="H41">
            <v>3.6865089050053323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</row>
        <row r="42">
          <cell r="E42">
            <v>0.95040000000000013</v>
          </cell>
          <cell r="F42">
            <v>0.63360000000000005</v>
          </cell>
          <cell r="G42">
            <v>1.2672000000000001</v>
          </cell>
          <cell r="H42">
            <v>1.5973179000070732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E43">
            <v>0.88200000000000001</v>
          </cell>
          <cell r="F43">
            <v>0.88200000000000001</v>
          </cell>
          <cell r="G43">
            <v>4.0571999999999999</v>
          </cell>
          <cell r="H43">
            <v>2.6708572229442438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</row>
        <row r="44">
          <cell r="E44">
            <v>5.1677999999999997</v>
          </cell>
          <cell r="F44">
            <v>7.2731999999999992</v>
          </cell>
          <cell r="G44">
            <v>13.015200000000002</v>
          </cell>
          <cell r="H44">
            <v>14.090249353215242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E45">
            <v>3.8987999999999996</v>
          </cell>
          <cell r="F45">
            <v>5.7456000000000005</v>
          </cell>
          <cell r="G45">
            <v>2.6676000000000002</v>
          </cell>
          <cell r="H45">
            <v>5.6072153144856989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E46">
            <v>10.29</v>
          </cell>
          <cell r="F46">
            <v>23.52</v>
          </cell>
          <cell r="G46">
            <v>40.74</v>
          </cell>
          <cell r="H46">
            <v>38.376434502193135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E47">
            <v>15.12</v>
          </cell>
          <cell r="F47">
            <v>33.868799999999993</v>
          </cell>
          <cell r="G47">
            <v>36.086400000000005</v>
          </cell>
          <cell r="H47">
            <v>33.950346923964638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</row>
        <row r="50"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</row>
        <row r="54"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</row>
        <row r="55"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</row>
        <row r="56"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</row>
        <row r="57"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</row>
        <row r="58"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</row>
        <row r="59"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</row>
        <row r="60"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</row>
        <row r="61"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</row>
        <row r="62"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</row>
        <row r="70"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4">
          <cell r="E74">
            <v>0</v>
          </cell>
          <cell r="F74">
            <v>0.26400000000000001</v>
          </cell>
          <cell r="G74">
            <v>0.13200000000000001</v>
          </cell>
          <cell r="H74">
            <v>2.7113010932724384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E75">
            <v>0</v>
          </cell>
          <cell r="F75">
            <v>0.26400000000000001</v>
          </cell>
          <cell r="G75">
            <v>0.13200000000000001</v>
          </cell>
          <cell r="H75">
            <v>1.2912373643530664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E76">
            <v>0</v>
          </cell>
          <cell r="F76">
            <v>0.26400000000000001</v>
          </cell>
          <cell r="G76">
            <v>0.13200000000000001</v>
          </cell>
          <cell r="H76">
            <v>1.2912373643530664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</row>
        <row r="77"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79"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</row>
        <row r="80"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4">
          <cell r="E84">
            <v>0</v>
          </cell>
          <cell r="F84">
            <v>0.84</v>
          </cell>
          <cell r="G84">
            <v>0.97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5">
          <cell r="E85">
            <v>0</v>
          </cell>
          <cell r="F85">
            <v>0.8</v>
          </cell>
          <cell r="G85">
            <v>1.8639999999999999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</row>
        <row r="86">
          <cell r="E86">
            <v>0</v>
          </cell>
          <cell r="F86">
            <v>0.72</v>
          </cell>
          <cell r="G86">
            <v>1.016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E87">
            <v>0</v>
          </cell>
          <cell r="F87">
            <v>0.8</v>
          </cell>
          <cell r="G87">
            <v>0.73599999999999999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E89">
            <v>0</v>
          </cell>
          <cell r="F89">
            <v>0.8</v>
          </cell>
          <cell r="G89">
            <v>1.6240000000000001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0"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</row>
        <row r="91">
          <cell r="E91">
            <v>0</v>
          </cell>
          <cell r="F91">
            <v>0.12</v>
          </cell>
          <cell r="G91">
            <v>0.13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E92">
            <v>0</v>
          </cell>
          <cell r="F92">
            <v>0.24</v>
          </cell>
          <cell r="G92">
            <v>0.16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E94">
            <v>0</v>
          </cell>
          <cell r="F94">
            <v>0.12</v>
          </cell>
          <cell r="G94">
            <v>0.13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E95">
            <v>0</v>
          </cell>
          <cell r="F95">
            <v>0.12</v>
          </cell>
          <cell r="G95">
            <v>0.13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E97">
            <v>0</v>
          </cell>
          <cell r="F97">
            <v>0.12</v>
          </cell>
          <cell r="G97">
            <v>0.13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E98">
            <v>0</v>
          </cell>
          <cell r="F98">
            <v>0</v>
          </cell>
          <cell r="G98">
            <v>0.14399999999999999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E99">
            <v>0</v>
          </cell>
          <cell r="F99">
            <v>0</v>
          </cell>
          <cell r="G99">
            <v>0.14399999999999999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E101">
            <v>0</v>
          </cell>
          <cell r="F101">
            <v>5.7599999999999998E-2</v>
          </cell>
          <cell r="G101">
            <v>4.3200000000000002E-2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</row>
        <row r="102">
          <cell r="E102">
            <v>0</v>
          </cell>
          <cell r="F102">
            <v>6.0479999999999999E-2</v>
          </cell>
          <cell r="G102">
            <v>4.3200000000000002E-2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</row>
        <row r="103">
          <cell r="E103">
            <v>0</v>
          </cell>
          <cell r="F103">
            <v>5.7599999999999998E-2</v>
          </cell>
          <cell r="G103">
            <v>7.1999999999999995E-2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</row>
        <row r="105"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</row>
        <row r="106"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</row>
        <row r="108"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1"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</row>
        <row r="112"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</row>
        <row r="114"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</row>
        <row r="116"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</row>
        <row r="117"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1"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4"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</row>
        <row r="125"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26"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7"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</row>
        <row r="128"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</row>
        <row r="129"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1"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</row>
        <row r="132"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4"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</row>
        <row r="135"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</row>
        <row r="136"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7"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</row>
        <row r="138"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1"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4"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</row>
        <row r="146"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</row>
        <row r="149"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</row>
        <row r="150"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</row>
        <row r="151"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58"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</row>
        <row r="159"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</row>
        <row r="160"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</row>
        <row r="161"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</row>
        <row r="162"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</row>
        <row r="163"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</row>
        <row r="164"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</row>
        <row r="165"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</row>
        <row r="166"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</row>
        <row r="167"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</row>
        <row r="168"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</row>
        <row r="169"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</row>
        <row r="170"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</row>
        <row r="171"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</row>
        <row r="172"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</row>
        <row r="173"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</row>
        <row r="175"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</row>
        <row r="176"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</row>
        <row r="177"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</row>
        <row r="178"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</row>
        <row r="179"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</row>
        <row r="183"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</row>
        <row r="184"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</row>
        <row r="185"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</row>
        <row r="186">
          <cell r="E186">
            <v>0</v>
          </cell>
          <cell r="F186">
            <v>0</v>
          </cell>
          <cell r="G186">
            <v>0.14771999999999999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</row>
        <row r="187">
          <cell r="E187">
            <v>0</v>
          </cell>
          <cell r="F187">
            <v>7.3859999999999995E-2</v>
          </cell>
          <cell r="G187">
            <v>8.0015000000000003E-2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</row>
        <row r="188">
          <cell r="E188">
            <v>0</v>
          </cell>
          <cell r="F188">
            <v>9.2349999999999988E-2</v>
          </cell>
          <cell r="G188">
            <v>0.11081999999999999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</row>
        <row r="189">
          <cell r="E189">
            <v>0</v>
          </cell>
          <cell r="F189">
            <v>0</v>
          </cell>
          <cell r="G189">
            <v>3.2840000000000001E-2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</row>
        <row r="190"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</row>
        <row r="191">
          <cell r="E191">
            <v>0</v>
          </cell>
          <cell r="F191">
            <v>5.6000000000000001E-2</v>
          </cell>
          <cell r="G191">
            <v>6.4000000000000001E-2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</row>
        <row r="192">
          <cell r="E192">
            <v>0</v>
          </cell>
          <cell r="F192">
            <v>0.100575</v>
          </cell>
          <cell r="G192">
            <v>0.2235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</row>
        <row r="193">
          <cell r="E193">
            <v>0</v>
          </cell>
          <cell r="F193">
            <v>8.4629999999999997E-2</v>
          </cell>
          <cell r="G193">
            <v>0.22970999999999997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</row>
        <row r="194">
          <cell r="E194">
            <v>0</v>
          </cell>
          <cell r="F194">
            <v>7.077E-2</v>
          </cell>
          <cell r="G194">
            <v>0.19208999999999998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</row>
        <row r="195"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</row>
        <row r="196"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</row>
        <row r="198"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</row>
        <row r="200"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</row>
        <row r="201"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</row>
        <row r="202"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</row>
        <row r="203"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</row>
        <row r="205"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</row>
        <row r="206"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</row>
        <row r="207"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</row>
        <row r="208"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</row>
        <row r="209"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</row>
        <row r="210"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</row>
        <row r="211"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</row>
        <row r="212"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</row>
        <row r="213"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</row>
        <row r="214"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</row>
        <row r="215"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</row>
        <row r="216"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</row>
        <row r="217"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</row>
        <row r="218"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</row>
        <row r="220"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</row>
        <row r="221"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</row>
        <row r="225">
          <cell r="E225">
            <v>0</v>
          </cell>
          <cell r="F225">
            <v>2.4105600000000003</v>
          </cell>
          <cell r="G225">
            <v>0.46655999999999997</v>
          </cell>
          <cell r="H225">
            <v>5.2731234050545259</v>
          </cell>
          <cell r="I225">
            <v>10.671674767817553</v>
          </cell>
          <cell r="J225">
            <v>7.8077927296894227</v>
          </cell>
          <cell r="K225">
            <v>9.5627501166855744</v>
          </cell>
          <cell r="L225">
            <v>8.7452670518614521</v>
          </cell>
          <cell r="M225">
            <v>7.2605249627928199</v>
          </cell>
          <cell r="N225">
            <v>0</v>
          </cell>
          <cell r="O225">
            <v>0</v>
          </cell>
          <cell r="P225">
            <v>0</v>
          </cell>
        </row>
        <row r="226"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4.7414017759799165</v>
          </cell>
          <cell r="O226">
            <v>2.9562920330961662</v>
          </cell>
          <cell r="P226">
            <v>2.4951477401184561</v>
          </cell>
        </row>
        <row r="227">
          <cell r="E227">
            <v>0</v>
          </cell>
          <cell r="F227">
            <v>0</v>
          </cell>
          <cell r="G227">
            <v>0</v>
          </cell>
          <cell r="H227">
            <v>18.803323000875423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</row>
        <row r="228"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38.053906993191433</v>
          </cell>
          <cell r="J228">
            <v>27.841648553020935</v>
          </cell>
          <cell r="K228">
            <v>34.099615239108708</v>
          </cell>
          <cell r="L228">
            <v>31.184569082423003</v>
          </cell>
          <cell r="M228">
            <v>25.890157605727577</v>
          </cell>
          <cell r="N228">
            <v>16.907267708777038</v>
          </cell>
          <cell r="O228">
            <v>10.541781352952645</v>
          </cell>
          <cell r="P228">
            <v>8.8973963414889194</v>
          </cell>
        </row>
        <row r="229">
          <cell r="E229">
            <v>0</v>
          </cell>
          <cell r="F229">
            <v>0</v>
          </cell>
          <cell r="G229">
            <v>0</v>
          </cell>
          <cell r="H229">
            <v>2.6861890001250619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</row>
        <row r="230"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5.4362724275987757</v>
          </cell>
          <cell r="J230">
            <v>3.9773783647172758</v>
          </cell>
          <cell r="K230">
            <v>4.8713736055869576</v>
          </cell>
          <cell r="L230">
            <v>4.4549384403461429</v>
          </cell>
          <cell r="M230">
            <v>3.698593943675367</v>
          </cell>
          <cell r="N230">
            <v>2.4153239583967197</v>
          </cell>
          <cell r="O230">
            <v>1.5059687647075204</v>
          </cell>
          <cell r="P230">
            <v>1.2710566202127027</v>
          </cell>
        </row>
        <row r="231">
          <cell r="E231">
            <v>0</v>
          </cell>
          <cell r="F231">
            <v>0.69335999999999998</v>
          </cell>
          <cell r="G231">
            <v>2.2534200000000002</v>
          </cell>
          <cell r="H231">
            <v>6.4732242631691319</v>
          </cell>
          <cell r="I231">
            <v>13.226996541367864</v>
          </cell>
          <cell r="J231">
            <v>9.6773608340052029</v>
          </cell>
          <cell r="K231">
            <v>11.852540999544793</v>
          </cell>
          <cell r="L231">
            <v>10.839312438301183</v>
          </cell>
          <cell r="M231">
            <v>8.999050351589343</v>
          </cell>
          <cell r="N231">
            <v>0</v>
          </cell>
          <cell r="O231">
            <v>0</v>
          </cell>
          <cell r="P231">
            <v>0</v>
          </cell>
        </row>
        <row r="232"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5.8767256552129208</v>
          </cell>
          <cell r="O232">
            <v>3.664173182540984</v>
          </cell>
          <cell r="P232">
            <v>3.0926083531215141</v>
          </cell>
        </row>
        <row r="233">
          <cell r="E233">
            <v>2.0608</v>
          </cell>
          <cell r="F233">
            <v>13.314000000000002</v>
          </cell>
          <cell r="G233">
            <v>40.38239999999999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</row>
        <row r="234">
          <cell r="E234">
            <v>0</v>
          </cell>
          <cell r="F234">
            <v>0</v>
          </cell>
          <cell r="G234">
            <v>3.5254800000000004</v>
          </cell>
          <cell r="H234">
            <v>22.212105975373468</v>
          </cell>
          <cell r="I234">
            <v>45.386879392453551</v>
          </cell>
          <cell r="J234">
            <v>33.206722904671253</v>
          </cell>
          <cell r="K234">
            <v>40.670597225756794</v>
          </cell>
          <cell r="L234">
            <v>37.193822860365046</v>
          </cell>
          <cell r="M234">
            <v>30.879180445598255</v>
          </cell>
          <cell r="N234">
            <v>20.165291319272022</v>
          </cell>
          <cell r="O234">
            <v>12.573178331824979</v>
          </cell>
          <cell r="P234">
            <v>10.197262671313501</v>
          </cell>
        </row>
        <row r="235">
          <cell r="E235">
            <v>0</v>
          </cell>
          <cell r="F235">
            <v>0</v>
          </cell>
          <cell r="G235">
            <v>0</v>
          </cell>
          <cell r="H235">
            <v>3.2507704267549196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</row>
        <row r="236"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6.6424284782028433</v>
          </cell>
          <cell r="J236">
            <v>4.8598468289153525</v>
          </cell>
          <cell r="K236">
            <v>5.9521944855896454</v>
          </cell>
          <cell r="L236">
            <v>5.4433640622139521</v>
          </cell>
          <cell r="M236">
            <v>4.5192079808313519</v>
          </cell>
          <cell r="N236">
            <v>2.9512164555790155</v>
          </cell>
          <cell r="O236">
            <v>1.8401009042874046</v>
          </cell>
          <cell r="P236">
            <v>1.5530683577677833</v>
          </cell>
        </row>
        <row r="237">
          <cell r="E237">
            <v>0</v>
          </cell>
          <cell r="F237">
            <v>0</v>
          </cell>
          <cell r="G237">
            <v>0</v>
          </cell>
          <cell r="H237">
            <v>4.963579325201958</v>
          </cell>
          <cell r="I237">
            <v>9.0885357356645784</v>
          </cell>
          <cell r="J237">
            <v>6.6495095460032081</v>
          </cell>
          <cell r="K237">
            <v>8.1441196492255514</v>
          </cell>
          <cell r="L237">
            <v>7.447909896810641</v>
          </cell>
          <cell r="M237">
            <v>6.1834287513170034</v>
          </cell>
          <cell r="N237">
            <v>0</v>
          </cell>
          <cell r="O237">
            <v>0</v>
          </cell>
          <cell r="P237">
            <v>0</v>
          </cell>
        </row>
        <row r="238"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4.0380165640064511</v>
          </cell>
          <cell r="O238">
            <v>2.5177271958176251</v>
          </cell>
          <cell r="P238">
            <v>2.1249934893271663</v>
          </cell>
        </row>
        <row r="239">
          <cell r="E239">
            <v>0.89600000000000002</v>
          </cell>
          <cell r="F239">
            <v>2.7776000000000001</v>
          </cell>
          <cell r="G239">
            <v>0.28000000000000003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</row>
        <row r="240">
          <cell r="E240">
            <v>0</v>
          </cell>
          <cell r="F240">
            <v>0</v>
          </cell>
          <cell r="G240">
            <v>22.294439999999998</v>
          </cell>
          <cell r="H240">
            <v>14.769097933524517</v>
          </cell>
          <cell r="I240">
            <v>27.042878849711126</v>
          </cell>
          <cell r="J240">
            <v>18.771421363685395</v>
          </cell>
          <cell r="K240">
            <v>24.232774939455499</v>
          </cell>
          <cell r="L240">
            <v>22.161207358479601</v>
          </cell>
          <cell r="M240">
            <v>18.398751950933367</v>
          </cell>
          <cell r="N240">
            <v>12.015091969660197</v>
          </cell>
          <cell r="O240">
            <v>7.4914808626364797</v>
          </cell>
          <cell r="P240">
            <v>6.3229042784962317</v>
          </cell>
        </row>
        <row r="241">
          <cell r="E241">
            <v>0</v>
          </cell>
          <cell r="F241">
            <v>0</v>
          </cell>
          <cell r="G241">
            <v>0</v>
          </cell>
          <cell r="H241">
            <v>5.1150466243221384</v>
          </cell>
          <cell r="I241">
            <v>10.198401724320563</v>
          </cell>
          <cell r="J241">
            <v>7.4615286325753107</v>
          </cell>
          <cell r="K241">
            <v>9.1386562466612187</v>
          </cell>
          <cell r="L241">
            <v>8.3574273506076153</v>
          </cell>
          <cell r="M241">
            <v>6.9385313843444374</v>
          </cell>
          <cell r="N241">
            <v>0</v>
          </cell>
          <cell r="O241">
            <v>0</v>
          </cell>
          <cell r="P241">
            <v>0</v>
          </cell>
        </row>
        <row r="242"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4.5311275971108991</v>
          </cell>
          <cell r="O242">
            <v>2.8251848396696313</v>
          </cell>
          <cell r="P242">
            <v>2.3844916162547789</v>
          </cell>
        </row>
        <row r="243">
          <cell r="E243">
            <v>0</v>
          </cell>
          <cell r="F243">
            <v>0.28999999999999998</v>
          </cell>
          <cell r="G243">
            <v>2.302</v>
          </cell>
          <cell r="H243">
            <v>15.585994583920254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</row>
        <row r="244"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31.075422320508775</v>
          </cell>
          <cell r="J244">
            <v>20.638250615742994</v>
          </cell>
          <cell r="K244">
            <v>27.846285132082581</v>
          </cell>
          <cell r="L244">
            <v>25.465812335452476</v>
          </cell>
          <cell r="M244">
            <v>21.142312185880552</v>
          </cell>
          <cell r="N244">
            <v>13.806742220454559</v>
          </cell>
          <cell r="O244">
            <v>8.6085853842045665</v>
          </cell>
          <cell r="P244">
            <v>7.2657545758491313</v>
          </cell>
        </row>
        <row r="245">
          <cell r="E245">
            <v>0</v>
          </cell>
          <cell r="F245">
            <v>0</v>
          </cell>
          <cell r="G245">
            <v>0.53759999999999997</v>
          </cell>
          <cell r="H245">
            <v>5.6461613094143006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</row>
        <row r="246"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12.061436189328779</v>
          </cell>
          <cell r="J246">
            <v>8.8245936872674537</v>
          </cell>
          <cell r="K246">
            <v>10.808097401424789</v>
          </cell>
          <cell r="L246">
            <v>9.8841543431179648</v>
          </cell>
          <cell r="M246">
            <v>8.2060557920904049</v>
          </cell>
          <cell r="N246">
            <v>5.358869738179564</v>
          </cell>
          <cell r="O246">
            <v>3.3412869572957047</v>
          </cell>
          <cell r="P246">
            <v>2.8200883090200612</v>
          </cell>
        </row>
        <row r="247"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5.0992008621602816</v>
          </cell>
          <cell r="J247">
            <v>3.7307643162876554</v>
          </cell>
          <cell r="K247">
            <v>4.5693281233306093</v>
          </cell>
          <cell r="L247">
            <v>4.1787136753038077</v>
          </cell>
          <cell r="M247">
            <v>3.4692656921722187</v>
          </cell>
          <cell r="N247">
            <v>0</v>
          </cell>
          <cell r="O247">
            <v>0</v>
          </cell>
          <cell r="P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2.2655637985554495</v>
          </cell>
          <cell r="O248">
            <v>1.4125924198348156</v>
          </cell>
          <cell r="P248">
            <v>1.1922458081273895</v>
          </cell>
        </row>
        <row r="249"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15.297602586480842</v>
          </cell>
          <cell r="J249">
            <v>11.192292948862965</v>
          </cell>
          <cell r="K249">
            <v>13.707984369991831</v>
          </cell>
          <cell r="L249">
            <v>12.536141025911423</v>
          </cell>
          <cell r="M249">
            <v>10.407797076516662</v>
          </cell>
          <cell r="N249">
            <v>6.7966913956663468</v>
          </cell>
          <cell r="O249">
            <v>4.2377772595044467</v>
          </cell>
          <cell r="P249">
            <v>3.5767374243821681</v>
          </cell>
        </row>
        <row r="250">
          <cell r="E250">
            <v>0</v>
          </cell>
          <cell r="F250">
            <v>0</v>
          </cell>
          <cell r="G250">
            <v>0</v>
          </cell>
          <cell r="H250">
            <v>3.4883775336694747</v>
          </cell>
          <cell r="I250">
            <v>6.706744042335262</v>
          </cell>
          <cell r="J250">
            <v>4.9069024790325537</v>
          </cell>
          <cell r="K250">
            <v>6.0098268330696056</v>
          </cell>
          <cell r="L250">
            <v>5.4960696399387645</v>
          </cell>
          <cell r="M250">
            <v>4.5629653824612957</v>
          </cell>
          <cell r="N250">
            <v>0</v>
          </cell>
          <cell r="O250">
            <v>0</v>
          </cell>
          <cell r="P250">
            <v>0</v>
          </cell>
        </row>
        <row r="251"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2.9797917201588757</v>
          </cell>
          <cell r="O251">
            <v>1.8579177506573992</v>
          </cell>
          <cell r="P251">
            <v>1.5681060006861556</v>
          </cell>
        </row>
        <row r="252">
          <cell r="E252">
            <v>0</v>
          </cell>
          <cell r="F252">
            <v>0</v>
          </cell>
          <cell r="G252">
            <v>0</v>
          </cell>
          <cell r="H252">
            <v>10.516734586825006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</row>
        <row r="253"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20.219441948078103</v>
          </cell>
          <cell r="J253">
            <v>14.793293018698984</v>
          </cell>
          <cell r="K253">
            <v>18.118381140268148</v>
          </cell>
          <cell r="L253">
            <v>16.569509783862607</v>
          </cell>
          <cell r="M253">
            <v>13.756394023595595</v>
          </cell>
          <cell r="N253">
            <v>8.9834538671521234</v>
          </cell>
          <cell r="O253">
            <v>5.6012365861275351</v>
          </cell>
          <cell r="P253">
            <v>4.7275142825141536</v>
          </cell>
        </row>
        <row r="254">
          <cell r="E254">
            <v>0</v>
          </cell>
          <cell r="F254">
            <v>0</v>
          </cell>
          <cell r="G254">
            <v>0.3</v>
          </cell>
          <cell r="H254">
            <v>5.3040680079424476</v>
          </cell>
          <cell r="I254">
            <v>10.575273363276992</v>
          </cell>
          <cell r="J254">
            <v>7.7372618896966676</v>
          </cell>
          <cell r="K254">
            <v>9.476366061457524</v>
          </cell>
          <cell r="L254">
            <v>8.6662676403141479</v>
          </cell>
          <cell r="M254">
            <v>7.1949378061990084</v>
          </cell>
          <cell r="N254">
            <v>0</v>
          </cell>
          <cell r="O254">
            <v>0</v>
          </cell>
          <cell r="P254">
            <v>0</v>
          </cell>
        </row>
        <row r="255"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4.6985708426315744</v>
          </cell>
          <cell r="O255">
            <v>2.9295866929857284</v>
          </cell>
          <cell r="P255">
            <v>2.4726080964433126</v>
          </cell>
        </row>
        <row r="256">
          <cell r="E256">
            <v>0</v>
          </cell>
          <cell r="F256">
            <v>0</v>
          </cell>
          <cell r="G256">
            <v>3.6736</v>
          </cell>
          <cell r="H256">
            <v>15.91220402382735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</row>
        <row r="257"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31.725820089830979</v>
          </cell>
          <cell r="J257">
            <v>23.211785669090006</v>
          </cell>
          <cell r="K257">
            <v>28.429098184372577</v>
          </cell>
          <cell r="L257">
            <v>25.998802920942449</v>
          </cell>
          <cell r="M257">
            <v>21.584813418597033</v>
          </cell>
          <cell r="N257">
            <v>14.095712527894724</v>
          </cell>
          <cell r="O257">
            <v>8.7887600789571838</v>
          </cell>
          <cell r="P257">
            <v>7.4178242893299382</v>
          </cell>
        </row>
        <row r="261"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</row>
        <row r="262"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</row>
        <row r="263">
          <cell r="E263">
            <v>0.27600000000000002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</row>
        <row r="264">
          <cell r="E264">
            <v>0.28000000000000003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</row>
        <row r="265"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</row>
        <row r="266"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</row>
        <row r="267"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</row>
        <row r="268"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</row>
        <row r="269"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</row>
        <row r="270"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</row>
        <row r="271"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</row>
        <row r="272"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</row>
        <row r="273"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</row>
        <row r="274">
          <cell r="E274">
            <v>0</v>
          </cell>
          <cell r="F274">
            <v>0.52400000000000002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</row>
        <row r="275">
          <cell r="E275">
            <v>0</v>
          </cell>
          <cell r="F275">
            <v>0.26600000000000001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</row>
        <row r="276"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</row>
        <row r="277"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</row>
        <row r="278">
          <cell r="E278">
            <v>0</v>
          </cell>
          <cell r="F278">
            <v>0.248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</row>
        <row r="279">
          <cell r="E279">
            <v>0</v>
          </cell>
          <cell r="F279">
            <v>0.26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</row>
        <row r="280"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</row>
        <row r="281">
          <cell r="E281">
            <v>0.26400000000000001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</row>
        <row r="282"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</row>
        <row r="283"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</row>
        <row r="284"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</row>
        <row r="285"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</row>
        <row r="286"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</row>
        <row r="287"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</row>
        <row r="288"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</row>
        <row r="289"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</row>
        <row r="290"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</row>
        <row r="291"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</row>
        <row r="292"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</row>
        <row r="293"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</row>
        <row r="294"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</row>
        <row r="295"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</row>
        <row r="296"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</row>
        <row r="297"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</row>
        <row r="298"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</row>
        <row r="299"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</row>
        <row r="300"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</row>
        <row r="301"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</row>
        <row r="302"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</row>
        <row r="303"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um grid"/>
      <sheetName val="DOX WB"/>
      <sheetName val="TDD publ rates"/>
      <sheetName val="TDD published WB"/>
      <sheetName val="tdd9 rates"/>
      <sheetName val="tdd12 rates"/>
      <sheetName val="adjusted tdd9 rates"/>
      <sheetName val="Comparison TDD9"/>
      <sheetName val="comp charts 10"/>
      <sheetName val="comp charts 50"/>
      <sheetName val="adjusted tdd12 rates "/>
      <sheetName val="Comparison TDD12"/>
      <sheetName val="Adjusted TDD publ rates "/>
      <sheetName val="Resulting premiums"/>
      <sheetName val="additional costs"/>
      <sheetName val="competitors"/>
      <sheetName val="TDD Tariffs"/>
      <sheetName val="TDD Tariffs ($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ess Old"/>
      <sheetName val="old tariff"/>
      <sheetName val="Ready_Reckon Old"/>
      <sheetName val="new tariff"/>
      <sheetName val="Ready_Reckon"/>
      <sheetName val="Comparison $"/>
      <sheetName val="Comparison %"/>
      <sheetName val="Access N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M"/>
      <sheetName val="DOM TDD9"/>
      <sheetName val="DOM TDD12"/>
      <sheetName val="EUR OB"/>
      <sheetName val="EUR IB"/>
      <sheetName val="EUR TDD9"/>
      <sheetName val="EUR TDD12"/>
      <sheetName val="RFE OB"/>
      <sheetName val="RFE IB"/>
      <sheetName val="SIB OB"/>
      <sheetName val="SIB IB"/>
      <sheetName val="SIB TDD9"/>
      <sheetName val="SIB TDD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database"/>
      <sheetName val="wpx"/>
      <sheetName val="dox"/>
      <sheetName val="ecx"/>
      <sheetName val="exposure"/>
      <sheetName val="old tariff"/>
      <sheetName val="table_for_report"/>
      <sheetName val="new tariff"/>
      <sheetName val="ISR"/>
      <sheetName val="new tariff (ImpEx)"/>
      <sheetName val="comparison_old_new (ImpEx)"/>
      <sheetName val="comparison_old_new"/>
      <sheetName val="comparison_old_new ($)"/>
      <sheetName val="full tariffs"/>
      <sheetName val="compar"/>
      <sheetName val=" Ready_Reckon (ImpEx)"/>
      <sheetName val=" Ready_Reckon"/>
      <sheetName val="graphs"/>
      <sheetName val="Destination"/>
      <sheetName val="map_current"/>
      <sheetName val="input"/>
      <sheetName val="Zoning"/>
      <sheetName val="Linehaul rates_DOX"/>
      <sheetName val="Linehaul rates_WPX"/>
      <sheetName val="Linehaul rates_XPD"/>
      <sheetName val="Discounting"/>
      <sheetName val="Module1"/>
      <sheetName val="Module2"/>
      <sheetName val="Module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/>
      <sheetData sheetId="20" refreshError="1"/>
      <sheetData sheetId="21"/>
      <sheetData sheetId="22" refreshError="1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database"/>
      <sheetName val="wpx"/>
      <sheetName val="dox"/>
      <sheetName val="ecx"/>
      <sheetName val="exposure"/>
      <sheetName val="old tariff"/>
      <sheetName val="table_for_report"/>
      <sheetName val="new tariff"/>
      <sheetName val="ISR"/>
      <sheetName val="new tariff (ImpEx)"/>
      <sheetName val="comparison_old_new (ImpEx)"/>
      <sheetName val="comparison_old_new"/>
      <sheetName val="comparison_old_new ($)"/>
      <sheetName val="full tariffs"/>
      <sheetName val="compar"/>
      <sheetName val=" Ready_Reckon (ImpEx)"/>
      <sheetName val=" Ready_Reckon"/>
      <sheetName val="graphs"/>
      <sheetName val="Destination"/>
      <sheetName val="map_current"/>
      <sheetName val="input"/>
      <sheetName val="Zoning"/>
      <sheetName val="Linehaul rates_DOX"/>
      <sheetName val="Linehaul rates_WPX"/>
      <sheetName val="Linehaul rates_XPD"/>
      <sheetName val="Discounting"/>
      <sheetName val="Module1"/>
      <sheetName val="Module2"/>
      <sheetName val="Module4"/>
      <sheetName val="dom tdd1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D Intl EURRU"/>
      <sheetName val="OB EURRU"/>
      <sheetName val="ImpEx EURRU"/>
      <sheetName val="DOM Matrix"/>
      <sheetName val="DOM StartDay"/>
      <sheetName val="DOM MidDay"/>
      <sheetName val="DOM EndD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I"/>
      <sheetName val="I"/>
      <sheetName val="Базовая информация о площадке"/>
      <sheetName val="Опросник НОВЫЙ"/>
      <sheetName val="Опросник для клиента"/>
      <sheetName val="ОпросЛист"/>
      <sheetName val="Настройки модели"/>
      <sheetName val="xDock Моно"/>
      <sheetName val="xDock короб"/>
      <sheetName val="Вход Моно"/>
      <sheetName val="Вход Микс"/>
      <sheetName val="Вход Короб"/>
      <sheetName val="Подбор Моно"/>
      <sheetName val="Подбор короб"/>
      <sheetName val="Подбор Штуки"/>
      <sheetName val="Отгрузка моно"/>
      <sheetName val="Отгрузка Микс"/>
      <sheetName val="Отгрузка короб"/>
      <sheetName val="12"/>
      <sheetName val="13"/>
      <sheetName val="14"/>
      <sheetName val="15"/>
      <sheetName val="БД Персонал"/>
      <sheetName val="БД Техника"/>
      <sheetName val="БД хранение"/>
      <sheetName val="Себестоимости хранения"/>
      <sheetName val="Персонал и техника"/>
      <sheetName val="Ценообразование"/>
      <sheetName val="СВОДНАЯ ТАБЛИЦА"/>
      <sheetName val="PNL"/>
      <sheetName val="Расчет ТЭО"/>
      <sheetName val="Расчет ТЭО с НДС"/>
      <sheetName val="Расчет ДДС"/>
      <sheetName val="Результаты расчета"/>
      <sheetName val="Списки"/>
      <sheetName val="Реестр общесетевыз 04.04.18"/>
      <sheetName val="История изменений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осква Быково"/>
      <sheetName val="Расчет ТЭО"/>
      <sheetName val="Утилизация"/>
      <sheetName val="Расчет ТЭО с НДС"/>
      <sheetName val="Расчет ДДС"/>
      <sheetName val="Результаты расчета"/>
      <sheetName val="Списки"/>
      <sheetName val="Реестр общесетевыз 04.04.18"/>
      <sheetName val="8 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39997558519241921"/>
  </sheetPr>
  <dimension ref="A1:IS123"/>
  <sheetViews>
    <sheetView showGridLines="0" tabSelected="1" zoomScale="115" zoomScaleNormal="115" workbookViewId="0">
      <selection activeCell="B84" sqref="B84"/>
    </sheetView>
  </sheetViews>
  <sheetFormatPr defaultRowHeight="13.8"/>
  <cols>
    <col min="1" max="1" width="5" style="107" customWidth="1"/>
    <col min="2" max="2" width="48.88671875" style="2" bestFit="1" customWidth="1"/>
    <col min="3" max="3" width="12.88671875" style="169" customWidth="1"/>
    <col min="4" max="4" width="12.5546875" style="169" customWidth="1"/>
    <col min="5" max="5" width="11.33203125" style="169" customWidth="1"/>
    <col min="6" max="6" width="10" style="169" customWidth="1"/>
    <col min="7" max="7" width="10.88671875" style="2" customWidth="1"/>
    <col min="8" max="8" width="8.88671875" style="2" customWidth="1"/>
    <col min="9" max="9" width="9.88671875" style="2" customWidth="1"/>
    <col min="10" max="10" width="9.109375" style="2"/>
    <col min="11" max="12" width="8.109375" style="2" customWidth="1"/>
    <col min="13" max="13" width="7.88671875" style="2" customWidth="1"/>
    <col min="14" max="14" width="10.88671875" style="2" customWidth="1"/>
    <col min="15" max="15" width="9.88671875" style="1" customWidth="1"/>
    <col min="16" max="16" width="7.6640625" style="1" customWidth="1"/>
    <col min="17" max="17" width="6.6640625" style="1" bestFit="1" customWidth="1"/>
    <col min="18" max="18" width="7.33203125" style="2" bestFit="1" customWidth="1"/>
    <col min="19" max="21" width="9.109375" style="1"/>
    <col min="22" max="22" width="9.109375" style="91"/>
    <col min="23" max="226" width="9.109375" style="1"/>
    <col min="227" max="255" width="9.109375" style="2"/>
    <col min="256" max="256" width="5" style="2" customWidth="1"/>
    <col min="257" max="257" width="39.33203125" style="2" customWidth="1"/>
    <col min="258" max="258" width="12.88671875" style="2" customWidth="1"/>
    <col min="259" max="259" width="12.5546875" style="2" customWidth="1"/>
    <col min="260" max="260" width="11.33203125" style="2" customWidth="1"/>
    <col min="261" max="261" width="10" style="2" customWidth="1"/>
    <col min="262" max="262" width="10.88671875" style="2" customWidth="1"/>
    <col min="263" max="263" width="8.88671875" style="2" customWidth="1"/>
    <col min="264" max="264" width="9.88671875" style="2" customWidth="1"/>
    <col min="265" max="265" width="9.109375" style="2"/>
    <col min="266" max="267" width="8.109375" style="2" customWidth="1"/>
    <col min="268" max="268" width="7.88671875" style="2" customWidth="1"/>
    <col min="269" max="269" width="8.44140625" style="2" customWidth="1"/>
    <col min="270" max="270" width="7" style="2" customWidth="1"/>
    <col min="271" max="271" width="9.88671875" style="2" customWidth="1"/>
    <col min="272" max="272" width="7.6640625" style="2" customWidth="1"/>
    <col min="273" max="273" width="6.6640625" style="2" bestFit="1" customWidth="1"/>
    <col min="274" max="274" width="7.33203125" style="2" bestFit="1" customWidth="1"/>
    <col min="275" max="511" width="9.109375" style="2"/>
    <col min="512" max="512" width="5" style="2" customWidth="1"/>
    <col min="513" max="513" width="39.33203125" style="2" customWidth="1"/>
    <col min="514" max="514" width="12.88671875" style="2" customWidth="1"/>
    <col min="515" max="515" width="12.5546875" style="2" customWidth="1"/>
    <col min="516" max="516" width="11.33203125" style="2" customWidth="1"/>
    <col min="517" max="517" width="10" style="2" customWidth="1"/>
    <col min="518" max="518" width="10.88671875" style="2" customWidth="1"/>
    <col min="519" max="519" width="8.88671875" style="2" customWidth="1"/>
    <col min="520" max="520" width="9.88671875" style="2" customWidth="1"/>
    <col min="521" max="521" width="9.109375" style="2"/>
    <col min="522" max="523" width="8.109375" style="2" customWidth="1"/>
    <col min="524" max="524" width="7.88671875" style="2" customWidth="1"/>
    <col min="525" max="525" width="8.44140625" style="2" customWidth="1"/>
    <col min="526" max="526" width="7" style="2" customWidth="1"/>
    <col min="527" max="527" width="9.88671875" style="2" customWidth="1"/>
    <col min="528" max="528" width="7.6640625" style="2" customWidth="1"/>
    <col min="529" max="529" width="6.6640625" style="2" bestFit="1" customWidth="1"/>
    <col min="530" max="530" width="7.33203125" style="2" bestFit="1" customWidth="1"/>
    <col min="531" max="767" width="9.109375" style="2"/>
    <col min="768" max="768" width="5" style="2" customWidth="1"/>
    <col min="769" max="769" width="39.33203125" style="2" customWidth="1"/>
    <col min="770" max="770" width="12.88671875" style="2" customWidth="1"/>
    <col min="771" max="771" width="12.5546875" style="2" customWidth="1"/>
    <col min="772" max="772" width="11.33203125" style="2" customWidth="1"/>
    <col min="773" max="773" width="10" style="2" customWidth="1"/>
    <col min="774" max="774" width="10.88671875" style="2" customWidth="1"/>
    <col min="775" max="775" width="8.88671875" style="2" customWidth="1"/>
    <col min="776" max="776" width="9.88671875" style="2" customWidth="1"/>
    <col min="777" max="777" width="9.109375" style="2"/>
    <col min="778" max="779" width="8.109375" style="2" customWidth="1"/>
    <col min="780" max="780" width="7.88671875" style="2" customWidth="1"/>
    <col min="781" max="781" width="8.44140625" style="2" customWidth="1"/>
    <col min="782" max="782" width="7" style="2" customWidth="1"/>
    <col min="783" max="783" width="9.88671875" style="2" customWidth="1"/>
    <col min="784" max="784" width="7.6640625" style="2" customWidth="1"/>
    <col min="785" max="785" width="6.6640625" style="2" bestFit="1" customWidth="1"/>
    <col min="786" max="786" width="7.33203125" style="2" bestFit="1" customWidth="1"/>
    <col min="787" max="1023" width="9.109375" style="2"/>
    <col min="1024" max="1024" width="5" style="2" customWidth="1"/>
    <col min="1025" max="1025" width="39.33203125" style="2" customWidth="1"/>
    <col min="1026" max="1026" width="12.88671875" style="2" customWidth="1"/>
    <col min="1027" max="1027" width="12.5546875" style="2" customWidth="1"/>
    <col min="1028" max="1028" width="11.33203125" style="2" customWidth="1"/>
    <col min="1029" max="1029" width="10" style="2" customWidth="1"/>
    <col min="1030" max="1030" width="10.88671875" style="2" customWidth="1"/>
    <col min="1031" max="1031" width="8.88671875" style="2" customWidth="1"/>
    <col min="1032" max="1032" width="9.88671875" style="2" customWidth="1"/>
    <col min="1033" max="1033" width="9.109375" style="2"/>
    <col min="1034" max="1035" width="8.109375" style="2" customWidth="1"/>
    <col min="1036" max="1036" width="7.88671875" style="2" customWidth="1"/>
    <col min="1037" max="1037" width="8.44140625" style="2" customWidth="1"/>
    <col min="1038" max="1038" width="7" style="2" customWidth="1"/>
    <col min="1039" max="1039" width="9.88671875" style="2" customWidth="1"/>
    <col min="1040" max="1040" width="7.6640625" style="2" customWidth="1"/>
    <col min="1041" max="1041" width="6.6640625" style="2" bestFit="1" customWidth="1"/>
    <col min="1042" max="1042" width="7.33203125" style="2" bestFit="1" customWidth="1"/>
    <col min="1043" max="1279" width="9.109375" style="2"/>
    <col min="1280" max="1280" width="5" style="2" customWidth="1"/>
    <col min="1281" max="1281" width="39.33203125" style="2" customWidth="1"/>
    <col min="1282" max="1282" width="12.88671875" style="2" customWidth="1"/>
    <col min="1283" max="1283" width="12.5546875" style="2" customWidth="1"/>
    <col min="1284" max="1284" width="11.33203125" style="2" customWidth="1"/>
    <col min="1285" max="1285" width="10" style="2" customWidth="1"/>
    <col min="1286" max="1286" width="10.88671875" style="2" customWidth="1"/>
    <col min="1287" max="1287" width="8.88671875" style="2" customWidth="1"/>
    <col min="1288" max="1288" width="9.88671875" style="2" customWidth="1"/>
    <col min="1289" max="1289" width="9.109375" style="2"/>
    <col min="1290" max="1291" width="8.109375" style="2" customWidth="1"/>
    <col min="1292" max="1292" width="7.88671875" style="2" customWidth="1"/>
    <col min="1293" max="1293" width="8.44140625" style="2" customWidth="1"/>
    <col min="1294" max="1294" width="7" style="2" customWidth="1"/>
    <col min="1295" max="1295" width="9.88671875" style="2" customWidth="1"/>
    <col min="1296" max="1296" width="7.6640625" style="2" customWidth="1"/>
    <col min="1297" max="1297" width="6.6640625" style="2" bestFit="1" customWidth="1"/>
    <col min="1298" max="1298" width="7.33203125" style="2" bestFit="1" customWidth="1"/>
    <col min="1299" max="1535" width="9.109375" style="2"/>
    <col min="1536" max="1536" width="5" style="2" customWidth="1"/>
    <col min="1537" max="1537" width="39.33203125" style="2" customWidth="1"/>
    <col min="1538" max="1538" width="12.88671875" style="2" customWidth="1"/>
    <col min="1539" max="1539" width="12.5546875" style="2" customWidth="1"/>
    <col min="1540" max="1540" width="11.33203125" style="2" customWidth="1"/>
    <col min="1541" max="1541" width="10" style="2" customWidth="1"/>
    <col min="1542" max="1542" width="10.88671875" style="2" customWidth="1"/>
    <col min="1543" max="1543" width="8.88671875" style="2" customWidth="1"/>
    <col min="1544" max="1544" width="9.88671875" style="2" customWidth="1"/>
    <col min="1545" max="1545" width="9.109375" style="2"/>
    <col min="1546" max="1547" width="8.109375" style="2" customWidth="1"/>
    <col min="1548" max="1548" width="7.88671875" style="2" customWidth="1"/>
    <col min="1549" max="1549" width="8.44140625" style="2" customWidth="1"/>
    <col min="1550" max="1550" width="7" style="2" customWidth="1"/>
    <col min="1551" max="1551" width="9.88671875" style="2" customWidth="1"/>
    <col min="1552" max="1552" width="7.6640625" style="2" customWidth="1"/>
    <col min="1553" max="1553" width="6.6640625" style="2" bestFit="1" customWidth="1"/>
    <col min="1554" max="1554" width="7.33203125" style="2" bestFit="1" customWidth="1"/>
    <col min="1555" max="1791" width="9.109375" style="2"/>
    <col min="1792" max="1792" width="5" style="2" customWidth="1"/>
    <col min="1793" max="1793" width="39.33203125" style="2" customWidth="1"/>
    <col min="1794" max="1794" width="12.88671875" style="2" customWidth="1"/>
    <col min="1795" max="1795" width="12.5546875" style="2" customWidth="1"/>
    <col min="1796" max="1796" width="11.33203125" style="2" customWidth="1"/>
    <col min="1797" max="1797" width="10" style="2" customWidth="1"/>
    <col min="1798" max="1798" width="10.88671875" style="2" customWidth="1"/>
    <col min="1799" max="1799" width="8.88671875" style="2" customWidth="1"/>
    <col min="1800" max="1800" width="9.88671875" style="2" customWidth="1"/>
    <col min="1801" max="1801" width="9.109375" style="2"/>
    <col min="1802" max="1803" width="8.109375" style="2" customWidth="1"/>
    <col min="1804" max="1804" width="7.88671875" style="2" customWidth="1"/>
    <col min="1805" max="1805" width="8.44140625" style="2" customWidth="1"/>
    <col min="1806" max="1806" width="7" style="2" customWidth="1"/>
    <col min="1807" max="1807" width="9.88671875" style="2" customWidth="1"/>
    <col min="1808" max="1808" width="7.6640625" style="2" customWidth="1"/>
    <col min="1809" max="1809" width="6.6640625" style="2" bestFit="1" customWidth="1"/>
    <col min="1810" max="1810" width="7.33203125" style="2" bestFit="1" customWidth="1"/>
    <col min="1811" max="2047" width="9.109375" style="2"/>
    <col min="2048" max="2048" width="5" style="2" customWidth="1"/>
    <col min="2049" max="2049" width="39.33203125" style="2" customWidth="1"/>
    <col min="2050" max="2050" width="12.88671875" style="2" customWidth="1"/>
    <col min="2051" max="2051" width="12.5546875" style="2" customWidth="1"/>
    <col min="2052" max="2052" width="11.33203125" style="2" customWidth="1"/>
    <col min="2053" max="2053" width="10" style="2" customWidth="1"/>
    <col min="2054" max="2054" width="10.88671875" style="2" customWidth="1"/>
    <col min="2055" max="2055" width="8.88671875" style="2" customWidth="1"/>
    <col min="2056" max="2056" width="9.88671875" style="2" customWidth="1"/>
    <col min="2057" max="2057" width="9.109375" style="2"/>
    <col min="2058" max="2059" width="8.109375" style="2" customWidth="1"/>
    <col min="2060" max="2060" width="7.88671875" style="2" customWidth="1"/>
    <col min="2061" max="2061" width="8.44140625" style="2" customWidth="1"/>
    <col min="2062" max="2062" width="7" style="2" customWidth="1"/>
    <col min="2063" max="2063" width="9.88671875" style="2" customWidth="1"/>
    <col min="2064" max="2064" width="7.6640625" style="2" customWidth="1"/>
    <col min="2065" max="2065" width="6.6640625" style="2" bestFit="1" customWidth="1"/>
    <col min="2066" max="2066" width="7.33203125" style="2" bestFit="1" customWidth="1"/>
    <col min="2067" max="2303" width="9.109375" style="2"/>
    <col min="2304" max="2304" width="5" style="2" customWidth="1"/>
    <col min="2305" max="2305" width="39.33203125" style="2" customWidth="1"/>
    <col min="2306" max="2306" width="12.88671875" style="2" customWidth="1"/>
    <col min="2307" max="2307" width="12.5546875" style="2" customWidth="1"/>
    <col min="2308" max="2308" width="11.33203125" style="2" customWidth="1"/>
    <col min="2309" max="2309" width="10" style="2" customWidth="1"/>
    <col min="2310" max="2310" width="10.88671875" style="2" customWidth="1"/>
    <col min="2311" max="2311" width="8.88671875" style="2" customWidth="1"/>
    <col min="2312" max="2312" width="9.88671875" style="2" customWidth="1"/>
    <col min="2313" max="2313" width="9.109375" style="2"/>
    <col min="2314" max="2315" width="8.109375" style="2" customWidth="1"/>
    <col min="2316" max="2316" width="7.88671875" style="2" customWidth="1"/>
    <col min="2317" max="2317" width="8.44140625" style="2" customWidth="1"/>
    <col min="2318" max="2318" width="7" style="2" customWidth="1"/>
    <col min="2319" max="2319" width="9.88671875" style="2" customWidth="1"/>
    <col min="2320" max="2320" width="7.6640625" style="2" customWidth="1"/>
    <col min="2321" max="2321" width="6.6640625" style="2" bestFit="1" customWidth="1"/>
    <col min="2322" max="2322" width="7.33203125" style="2" bestFit="1" customWidth="1"/>
    <col min="2323" max="2559" width="9.109375" style="2"/>
    <col min="2560" max="2560" width="5" style="2" customWidth="1"/>
    <col min="2561" max="2561" width="39.33203125" style="2" customWidth="1"/>
    <col min="2562" max="2562" width="12.88671875" style="2" customWidth="1"/>
    <col min="2563" max="2563" width="12.5546875" style="2" customWidth="1"/>
    <col min="2564" max="2564" width="11.33203125" style="2" customWidth="1"/>
    <col min="2565" max="2565" width="10" style="2" customWidth="1"/>
    <col min="2566" max="2566" width="10.88671875" style="2" customWidth="1"/>
    <col min="2567" max="2567" width="8.88671875" style="2" customWidth="1"/>
    <col min="2568" max="2568" width="9.88671875" style="2" customWidth="1"/>
    <col min="2569" max="2569" width="9.109375" style="2"/>
    <col min="2570" max="2571" width="8.109375" style="2" customWidth="1"/>
    <col min="2572" max="2572" width="7.88671875" style="2" customWidth="1"/>
    <col min="2573" max="2573" width="8.44140625" style="2" customWidth="1"/>
    <col min="2574" max="2574" width="7" style="2" customWidth="1"/>
    <col min="2575" max="2575" width="9.88671875" style="2" customWidth="1"/>
    <col min="2576" max="2576" width="7.6640625" style="2" customWidth="1"/>
    <col min="2577" max="2577" width="6.6640625" style="2" bestFit="1" customWidth="1"/>
    <col min="2578" max="2578" width="7.33203125" style="2" bestFit="1" customWidth="1"/>
    <col min="2579" max="2815" width="9.109375" style="2"/>
    <col min="2816" max="2816" width="5" style="2" customWidth="1"/>
    <col min="2817" max="2817" width="39.33203125" style="2" customWidth="1"/>
    <col min="2818" max="2818" width="12.88671875" style="2" customWidth="1"/>
    <col min="2819" max="2819" width="12.5546875" style="2" customWidth="1"/>
    <col min="2820" max="2820" width="11.33203125" style="2" customWidth="1"/>
    <col min="2821" max="2821" width="10" style="2" customWidth="1"/>
    <col min="2822" max="2822" width="10.88671875" style="2" customWidth="1"/>
    <col min="2823" max="2823" width="8.88671875" style="2" customWidth="1"/>
    <col min="2824" max="2824" width="9.88671875" style="2" customWidth="1"/>
    <col min="2825" max="2825" width="9.109375" style="2"/>
    <col min="2826" max="2827" width="8.109375" style="2" customWidth="1"/>
    <col min="2828" max="2828" width="7.88671875" style="2" customWidth="1"/>
    <col min="2829" max="2829" width="8.44140625" style="2" customWidth="1"/>
    <col min="2830" max="2830" width="7" style="2" customWidth="1"/>
    <col min="2831" max="2831" width="9.88671875" style="2" customWidth="1"/>
    <col min="2832" max="2832" width="7.6640625" style="2" customWidth="1"/>
    <col min="2833" max="2833" width="6.6640625" style="2" bestFit="1" customWidth="1"/>
    <col min="2834" max="2834" width="7.33203125" style="2" bestFit="1" customWidth="1"/>
    <col min="2835" max="3071" width="9.109375" style="2"/>
    <col min="3072" max="3072" width="5" style="2" customWidth="1"/>
    <col min="3073" max="3073" width="39.33203125" style="2" customWidth="1"/>
    <col min="3074" max="3074" width="12.88671875" style="2" customWidth="1"/>
    <col min="3075" max="3075" width="12.5546875" style="2" customWidth="1"/>
    <col min="3076" max="3076" width="11.33203125" style="2" customWidth="1"/>
    <col min="3077" max="3077" width="10" style="2" customWidth="1"/>
    <col min="3078" max="3078" width="10.88671875" style="2" customWidth="1"/>
    <col min="3079" max="3079" width="8.88671875" style="2" customWidth="1"/>
    <col min="3080" max="3080" width="9.88671875" style="2" customWidth="1"/>
    <col min="3081" max="3081" width="9.109375" style="2"/>
    <col min="3082" max="3083" width="8.109375" style="2" customWidth="1"/>
    <col min="3084" max="3084" width="7.88671875" style="2" customWidth="1"/>
    <col min="3085" max="3085" width="8.44140625" style="2" customWidth="1"/>
    <col min="3086" max="3086" width="7" style="2" customWidth="1"/>
    <col min="3087" max="3087" width="9.88671875" style="2" customWidth="1"/>
    <col min="3088" max="3088" width="7.6640625" style="2" customWidth="1"/>
    <col min="3089" max="3089" width="6.6640625" style="2" bestFit="1" customWidth="1"/>
    <col min="3090" max="3090" width="7.33203125" style="2" bestFit="1" customWidth="1"/>
    <col min="3091" max="3327" width="9.109375" style="2"/>
    <col min="3328" max="3328" width="5" style="2" customWidth="1"/>
    <col min="3329" max="3329" width="39.33203125" style="2" customWidth="1"/>
    <col min="3330" max="3330" width="12.88671875" style="2" customWidth="1"/>
    <col min="3331" max="3331" width="12.5546875" style="2" customWidth="1"/>
    <col min="3332" max="3332" width="11.33203125" style="2" customWidth="1"/>
    <col min="3333" max="3333" width="10" style="2" customWidth="1"/>
    <col min="3334" max="3334" width="10.88671875" style="2" customWidth="1"/>
    <col min="3335" max="3335" width="8.88671875" style="2" customWidth="1"/>
    <col min="3336" max="3336" width="9.88671875" style="2" customWidth="1"/>
    <col min="3337" max="3337" width="9.109375" style="2"/>
    <col min="3338" max="3339" width="8.109375" style="2" customWidth="1"/>
    <col min="3340" max="3340" width="7.88671875" style="2" customWidth="1"/>
    <col min="3341" max="3341" width="8.44140625" style="2" customWidth="1"/>
    <col min="3342" max="3342" width="7" style="2" customWidth="1"/>
    <col min="3343" max="3343" width="9.88671875" style="2" customWidth="1"/>
    <col min="3344" max="3344" width="7.6640625" style="2" customWidth="1"/>
    <col min="3345" max="3345" width="6.6640625" style="2" bestFit="1" customWidth="1"/>
    <col min="3346" max="3346" width="7.33203125" style="2" bestFit="1" customWidth="1"/>
    <col min="3347" max="3583" width="9.109375" style="2"/>
    <col min="3584" max="3584" width="5" style="2" customWidth="1"/>
    <col min="3585" max="3585" width="39.33203125" style="2" customWidth="1"/>
    <col min="3586" max="3586" width="12.88671875" style="2" customWidth="1"/>
    <col min="3587" max="3587" width="12.5546875" style="2" customWidth="1"/>
    <col min="3588" max="3588" width="11.33203125" style="2" customWidth="1"/>
    <col min="3589" max="3589" width="10" style="2" customWidth="1"/>
    <col min="3590" max="3590" width="10.88671875" style="2" customWidth="1"/>
    <col min="3591" max="3591" width="8.88671875" style="2" customWidth="1"/>
    <col min="3592" max="3592" width="9.88671875" style="2" customWidth="1"/>
    <col min="3593" max="3593" width="9.109375" style="2"/>
    <col min="3594" max="3595" width="8.109375" style="2" customWidth="1"/>
    <col min="3596" max="3596" width="7.88671875" style="2" customWidth="1"/>
    <col min="3597" max="3597" width="8.44140625" style="2" customWidth="1"/>
    <col min="3598" max="3598" width="7" style="2" customWidth="1"/>
    <col min="3599" max="3599" width="9.88671875" style="2" customWidth="1"/>
    <col min="3600" max="3600" width="7.6640625" style="2" customWidth="1"/>
    <col min="3601" max="3601" width="6.6640625" style="2" bestFit="1" customWidth="1"/>
    <col min="3602" max="3602" width="7.33203125" style="2" bestFit="1" customWidth="1"/>
    <col min="3603" max="3839" width="9.109375" style="2"/>
    <col min="3840" max="3840" width="5" style="2" customWidth="1"/>
    <col min="3841" max="3841" width="39.33203125" style="2" customWidth="1"/>
    <col min="3842" max="3842" width="12.88671875" style="2" customWidth="1"/>
    <col min="3843" max="3843" width="12.5546875" style="2" customWidth="1"/>
    <col min="3844" max="3844" width="11.33203125" style="2" customWidth="1"/>
    <col min="3845" max="3845" width="10" style="2" customWidth="1"/>
    <col min="3846" max="3846" width="10.88671875" style="2" customWidth="1"/>
    <col min="3847" max="3847" width="8.88671875" style="2" customWidth="1"/>
    <col min="3848" max="3848" width="9.88671875" style="2" customWidth="1"/>
    <col min="3849" max="3849" width="9.109375" style="2"/>
    <col min="3850" max="3851" width="8.109375" style="2" customWidth="1"/>
    <col min="3852" max="3852" width="7.88671875" style="2" customWidth="1"/>
    <col min="3853" max="3853" width="8.44140625" style="2" customWidth="1"/>
    <col min="3854" max="3854" width="7" style="2" customWidth="1"/>
    <col min="3855" max="3855" width="9.88671875" style="2" customWidth="1"/>
    <col min="3856" max="3856" width="7.6640625" style="2" customWidth="1"/>
    <col min="3857" max="3857" width="6.6640625" style="2" bestFit="1" customWidth="1"/>
    <col min="3858" max="3858" width="7.33203125" style="2" bestFit="1" customWidth="1"/>
    <col min="3859" max="4095" width="9.109375" style="2"/>
    <col min="4096" max="4096" width="5" style="2" customWidth="1"/>
    <col min="4097" max="4097" width="39.33203125" style="2" customWidth="1"/>
    <col min="4098" max="4098" width="12.88671875" style="2" customWidth="1"/>
    <col min="4099" max="4099" width="12.5546875" style="2" customWidth="1"/>
    <col min="4100" max="4100" width="11.33203125" style="2" customWidth="1"/>
    <col min="4101" max="4101" width="10" style="2" customWidth="1"/>
    <col min="4102" max="4102" width="10.88671875" style="2" customWidth="1"/>
    <col min="4103" max="4103" width="8.88671875" style="2" customWidth="1"/>
    <col min="4104" max="4104" width="9.88671875" style="2" customWidth="1"/>
    <col min="4105" max="4105" width="9.109375" style="2"/>
    <col min="4106" max="4107" width="8.109375" style="2" customWidth="1"/>
    <col min="4108" max="4108" width="7.88671875" style="2" customWidth="1"/>
    <col min="4109" max="4109" width="8.44140625" style="2" customWidth="1"/>
    <col min="4110" max="4110" width="7" style="2" customWidth="1"/>
    <col min="4111" max="4111" width="9.88671875" style="2" customWidth="1"/>
    <col min="4112" max="4112" width="7.6640625" style="2" customWidth="1"/>
    <col min="4113" max="4113" width="6.6640625" style="2" bestFit="1" customWidth="1"/>
    <col min="4114" max="4114" width="7.33203125" style="2" bestFit="1" customWidth="1"/>
    <col min="4115" max="4351" width="9.109375" style="2"/>
    <col min="4352" max="4352" width="5" style="2" customWidth="1"/>
    <col min="4353" max="4353" width="39.33203125" style="2" customWidth="1"/>
    <col min="4354" max="4354" width="12.88671875" style="2" customWidth="1"/>
    <col min="4355" max="4355" width="12.5546875" style="2" customWidth="1"/>
    <col min="4356" max="4356" width="11.33203125" style="2" customWidth="1"/>
    <col min="4357" max="4357" width="10" style="2" customWidth="1"/>
    <col min="4358" max="4358" width="10.88671875" style="2" customWidth="1"/>
    <col min="4359" max="4359" width="8.88671875" style="2" customWidth="1"/>
    <col min="4360" max="4360" width="9.88671875" style="2" customWidth="1"/>
    <col min="4361" max="4361" width="9.109375" style="2"/>
    <col min="4362" max="4363" width="8.109375" style="2" customWidth="1"/>
    <col min="4364" max="4364" width="7.88671875" style="2" customWidth="1"/>
    <col min="4365" max="4365" width="8.44140625" style="2" customWidth="1"/>
    <col min="4366" max="4366" width="7" style="2" customWidth="1"/>
    <col min="4367" max="4367" width="9.88671875" style="2" customWidth="1"/>
    <col min="4368" max="4368" width="7.6640625" style="2" customWidth="1"/>
    <col min="4369" max="4369" width="6.6640625" style="2" bestFit="1" customWidth="1"/>
    <col min="4370" max="4370" width="7.33203125" style="2" bestFit="1" customWidth="1"/>
    <col min="4371" max="4607" width="9.109375" style="2"/>
    <col min="4608" max="4608" width="5" style="2" customWidth="1"/>
    <col min="4609" max="4609" width="39.33203125" style="2" customWidth="1"/>
    <col min="4610" max="4610" width="12.88671875" style="2" customWidth="1"/>
    <col min="4611" max="4611" width="12.5546875" style="2" customWidth="1"/>
    <col min="4612" max="4612" width="11.33203125" style="2" customWidth="1"/>
    <col min="4613" max="4613" width="10" style="2" customWidth="1"/>
    <col min="4614" max="4614" width="10.88671875" style="2" customWidth="1"/>
    <col min="4615" max="4615" width="8.88671875" style="2" customWidth="1"/>
    <col min="4616" max="4616" width="9.88671875" style="2" customWidth="1"/>
    <col min="4617" max="4617" width="9.109375" style="2"/>
    <col min="4618" max="4619" width="8.109375" style="2" customWidth="1"/>
    <col min="4620" max="4620" width="7.88671875" style="2" customWidth="1"/>
    <col min="4621" max="4621" width="8.44140625" style="2" customWidth="1"/>
    <col min="4622" max="4622" width="7" style="2" customWidth="1"/>
    <col min="4623" max="4623" width="9.88671875" style="2" customWidth="1"/>
    <col min="4624" max="4624" width="7.6640625" style="2" customWidth="1"/>
    <col min="4625" max="4625" width="6.6640625" style="2" bestFit="1" customWidth="1"/>
    <col min="4626" max="4626" width="7.33203125" style="2" bestFit="1" customWidth="1"/>
    <col min="4627" max="4863" width="9.109375" style="2"/>
    <col min="4864" max="4864" width="5" style="2" customWidth="1"/>
    <col min="4865" max="4865" width="39.33203125" style="2" customWidth="1"/>
    <col min="4866" max="4866" width="12.88671875" style="2" customWidth="1"/>
    <col min="4867" max="4867" width="12.5546875" style="2" customWidth="1"/>
    <col min="4868" max="4868" width="11.33203125" style="2" customWidth="1"/>
    <col min="4869" max="4869" width="10" style="2" customWidth="1"/>
    <col min="4870" max="4870" width="10.88671875" style="2" customWidth="1"/>
    <col min="4871" max="4871" width="8.88671875" style="2" customWidth="1"/>
    <col min="4872" max="4872" width="9.88671875" style="2" customWidth="1"/>
    <col min="4873" max="4873" width="9.109375" style="2"/>
    <col min="4874" max="4875" width="8.109375" style="2" customWidth="1"/>
    <col min="4876" max="4876" width="7.88671875" style="2" customWidth="1"/>
    <col min="4877" max="4877" width="8.44140625" style="2" customWidth="1"/>
    <col min="4878" max="4878" width="7" style="2" customWidth="1"/>
    <col min="4879" max="4879" width="9.88671875" style="2" customWidth="1"/>
    <col min="4880" max="4880" width="7.6640625" style="2" customWidth="1"/>
    <col min="4881" max="4881" width="6.6640625" style="2" bestFit="1" customWidth="1"/>
    <col min="4882" max="4882" width="7.33203125" style="2" bestFit="1" customWidth="1"/>
    <col min="4883" max="5119" width="9.109375" style="2"/>
    <col min="5120" max="5120" width="5" style="2" customWidth="1"/>
    <col min="5121" max="5121" width="39.33203125" style="2" customWidth="1"/>
    <col min="5122" max="5122" width="12.88671875" style="2" customWidth="1"/>
    <col min="5123" max="5123" width="12.5546875" style="2" customWidth="1"/>
    <col min="5124" max="5124" width="11.33203125" style="2" customWidth="1"/>
    <col min="5125" max="5125" width="10" style="2" customWidth="1"/>
    <col min="5126" max="5126" width="10.88671875" style="2" customWidth="1"/>
    <col min="5127" max="5127" width="8.88671875" style="2" customWidth="1"/>
    <col min="5128" max="5128" width="9.88671875" style="2" customWidth="1"/>
    <col min="5129" max="5129" width="9.109375" style="2"/>
    <col min="5130" max="5131" width="8.109375" style="2" customWidth="1"/>
    <col min="5132" max="5132" width="7.88671875" style="2" customWidth="1"/>
    <col min="5133" max="5133" width="8.44140625" style="2" customWidth="1"/>
    <col min="5134" max="5134" width="7" style="2" customWidth="1"/>
    <col min="5135" max="5135" width="9.88671875" style="2" customWidth="1"/>
    <col min="5136" max="5136" width="7.6640625" style="2" customWidth="1"/>
    <col min="5137" max="5137" width="6.6640625" style="2" bestFit="1" customWidth="1"/>
    <col min="5138" max="5138" width="7.33203125" style="2" bestFit="1" customWidth="1"/>
    <col min="5139" max="5375" width="9.109375" style="2"/>
    <col min="5376" max="5376" width="5" style="2" customWidth="1"/>
    <col min="5377" max="5377" width="39.33203125" style="2" customWidth="1"/>
    <col min="5378" max="5378" width="12.88671875" style="2" customWidth="1"/>
    <col min="5379" max="5379" width="12.5546875" style="2" customWidth="1"/>
    <col min="5380" max="5380" width="11.33203125" style="2" customWidth="1"/>
    <col min="5381" max="5381" width="10" style="2" customWidth="1"/>
    <col min="5382" max="5382" width="10.88671875" style="2" customWidth="1"/>
    <col min="5383" max="5383" width="8.88671875" style="2" customWidth="1"/>
    <col min="5384" max="5384" width="9.88671875" style="2" customWidth="1"/>
    <col min="5385" max="5385" width="9.109375" style="2"/>
    <col min="5386" max="5387" width="8.109375" style="2" customWidth="1"/>
    <col min="5388" max="5388" width="7.88671875" style="2" customWidth="1"/>
    <col min="5389" max="5389" width="8.44140625" style="2" customWidth="1"/>
    <col min="5390" max="5390" width="7" style="2" customWidth="1"/>
    <col min="5391" max="5391" width="9.88671875" style="2" customWidth="1"/>
    <col min="5392" max="5392" width="7.6640625" style="2" customWidth="1"/>
    <col min="5393" max="5393" width="6.6640625" style="2" bestFit="1" customWidth="1"/>
    <col min="5394" max="5394" width="7.33203125" style="2" bestFit="1" customWidth="1"/>
    <col min="5395" max="5631" width="9.109375" style="2"/>
    <col min="5632" max="5632" width="5" style="2" customWidth="1"/>
    <col min="5633" max="5633" width="39.33203125" style="2" customWidth="1"/>
    <col min="5634" max="5634" width="12.88671875" style="2" customWidth="1"/>
    <col min="5635" max="5635" width="12.5546875" style="2" customWidth="1"/>
    <col min="5636" max="5636" width="11.33203125" style="2" customWidth="1"/>
    <col min="5637" max="5637" width="10" style="2" customWidth="1"/>
    <col min="5638" max="5638" width="10.88671875" style="2" customWidth="1"/>
    <col min="5639" max="5639" width="8.88671875" style="2" customWidth="1"/>
    <col min="5640" max="5640" width="9.88671875" style="2" customWidth="1"/>
    <col min="5641" max="5641" width="9.109375" style="2"/>
    <col min="5642" max="5643" width="8.109375" style="2" customWidth="1"/>
    <col min="5644" max="5644" width="7.88671875" style="2" customWidth="1"/>
    <col min="5645" max="5645" width="8.44140625" style="2" customWidth="1"/>
    <col min="5646" max="5646" width="7" style="2" customWidth="1"/>
    <col min="5647" max="5647" width="9.88671875" style="2" customWidth="1"/>
    <col min="5648" max="5648" width="7.6640625" style="2" customWidth="1"/>
    <col min="5649" max="5649" width="6.6640625" style="2" bestFit="1" customWidth="1"/>
    <col min="5650" max="5650" width="7.33203125" style="2" bestFit="1" customWidth="1"/>
    <col min="5651" max="5887" width="9.109375" style="2"/>
    <col min="5888" max="5888" width="5" style="2" customWidth="1"/>
    <col min="5889" max="5889" width="39.33203125" style="2" customWidth="1"/>
    <col min="5890" max="5890" width="12.88671875" style="2" customWidth="1"/>
    <col min="5891" max="5891" width="12.5546875" style="2" customWidth="1"/>
    <col min="5892" max="5892" width="11.33203125" style="2" customWidth="1"/>
    <col min="5893" max="5893" width="10" style="2" customWidth="1"/>
    <col min="5894" max="5894" width="10.88671875" style="2" customWidth="1"/>
    <col min="5895" max="5895" width="8.88671875" style="2" customWidth="1"/>
    <col min="5896" max="5896" width="9.88671875" style="2" customWidth="1"/>
    <col min="5897" max="5897" width="9.109375" style="2"/>
    <col min="5898" max="5899" width="8.109375" style="2" customWidth="1"/>
    <col min="5900" max="5900" width="7.88671875" style="2" customWidth="1"/>
    <col min="5901" max="5901" width="8.44140625" style="2" customWidth="1"/>
    <col min="5902" max="5902" width="7" style="2" customWidth="1"/>
    <col min="5903" max="5903" width="9.88671875" style="2" customWidth="1"/>
    <col min="5904" max="5904" width="7.6640625" style="2" customWidth="1"/>
    <col min="5905" max="5905" width="6.6640625" style="2" bestFit="1" customWidth="1"/>
    <col min="5906" max="5906" width="7.33203125" style="2" bestFit="1" customWidth="1"/>
    <col min="5907" max="6143" width="9.109375" style="2"/>
    <col min="6144" max="6144" width="5" style="2" customWidth="1"/>
    <col min="6145" max="6145" width="39.33203125" style="2" customWidth="1"/>
    <col min="6146" max="6146" width="12.88671875" style="2" customWidth="1"/>
    <col min="6147" max="6147" width="12.5546875" style="2" customWidth="1"/>
    <col min="6148" max="6148" width="11.33203125" style="2" customWidth="1"/>
    <col min="6149" max="6149" width="10" style="2" customWidth="1"/>
    <col min="6150" max="6150" width="10.88671875" style="2" customWidth="1"/>
    <col min="6151" max="6151" width="8.88671875" style="2" customWidth="1"/>
    <col min="6152" max="6152" width="9.88671875" style="2" customWidth="1"/>
    <col min="6153" max="6153" width="9.109375" style="2"/>
    <col min="6154" max="6155" width="8.109375" style="2" customWidth="1"/>
    <col min="6156" max="6156" width="7.88671875" style="2" customWidth="1"/>
    <col min="6157" max="6157" width="8.44140625" style="2" customWidth="1"/>
    <col min="6158" max="6158" width="7" style="2" customWidth="1"/>
    <col min="6159" max="6159" width="9.88671875" style="2" customWidth="1"/>
    <col min="6160" max="6160" width="7.6640625" style="2" customWidth="1"/>
    <col min="6161" max="6161" width="6.6640625" style="2" bestFit="1" customWidth="1"/>
    <col min="6162" max="6162" width="7.33203125" style="2" bestFit="1" customWidth="1"/>
    <col min="6163" max="6399" width="9.109375" style="2"/>
    <col min="6400" max="6400" width="5" style="2" customWidth="1"/>
    <col min="6401" max="6401" width="39.33203125" style="2" customWidth="1"/>
    <col min="6402" max="6402" width="12.88671875" style="2" customWidth="1"/>
    <col min="6403" max="6403" width="12.5546875" style="2" customWidth="1"/>
    <col min="6404" max="6404" width="11.33203125" style="2" customWidth="1"/>
    <col min="6405" max="6405" width="10" style="2" customWidth="1"/>
    <col min="6406" max="6406" width="10.88671875" style="2" customWidth="1"/>
    <col min="6407" max="6407" width="8.88671875" style="2" customWidth="1"/>
    <col min="6408" max="6408" width="9.88671875" style="2" customWidth="1"/>
    <col min="6409" max="6409" width="9.109375" style="2"/>
    <col min="6410" max="6411" width="8.109375" style="2" customWidth="1"/>
    <col min="6412" max="6412" width="7.88671875" style="2" customWidth="1"/>
    <col min="6413" max="6413" width="8.44140625" style="2" customWidth="1"/>
    <col min="6414" max="6414" width="7" style="2" customWidth="1"/>
    <col min="6415" max="6415" width="9.88671875" style="2" customWidth="1"/>
    <col min="6416" max="6416" width="7.6640625" style="2" customWidth="1"/>
    <col min="6417" max="6417" width="6.6640625" style="2" bestFit="1" customWidth="1"/>
    <col min="6418" max="6418" width="7.33203125" style="2" bestFit="1" customWidth="1"/>
    <col min="6419" max="6655" width="9.109375" style="2"/>
    <col min="6656" max="6656" width="5" style="2" customWidth="1"/>
    <col min="6657" max="6657" width="39.33203125" style="2" customWidth="1"/>
    <col min="6658" max="6658" width="12.88671875" style="2" customWidth="1"/>
    <col min="6659" max="6659" width="12.5546875" style="2" customWidth="1"/>
    <col min="6660" max="6660" width="11.33203125" style="2" customWidth="1"/>
    <col min="6661" max="6661" width="10" style="2" customWidth="1"/>
    <col min="6662" max="6662" width="10.88671875" style="2" customWidth="1"/>
    <col min="6663" max="6663" width="8.88671875" style="2" customWidth="1"/>
    <col min="6664" max="6664" width="9.88671875" style="2" customWidth="1"/>
    <col min="6665" max="6665" width="9.109375" style="2"/>
    <col min="6666" max="6667" width="8.109375" style="2" customWidth="1"/>
    <col min="6668" max="6668" width="7.88671875" style="2" customWidth="1"/>
    <col min="6669" max="6669" width="8.44140625" style="2" customWidth="1"/>
    <col min="6670" max="6670" width="7" style="2" customWidth="1"/>
    <col min="6671" max="6671" width="9.88671875" style="2" customWidth="1"/>
    <col min="6672" max="6672" width="7.6640625" style="2" customWidth="1"/>
    <col min="6673" max="6673" width="6.6640625" style="2" bestFit="1" customWidth="1"/>
    <col min="6674" max="6674" width="7.33203125" style="2" bestFit="1" customWidth="1"/>
    <col min="6675" max="6911" width="9.109375" style="2"/>
    <col min="6912" max="6912" width="5" style="2" customWidth="1"/>
    <col min="6913" max="6913" width="39.33203125" style="2" customWidth="1"/>
    <col min="6914" max="6914" width="12.88671875" style="2" customWidth="1"/>
    <col min="6915" max="6915" width="12.5546875" style="2" customWidth="1"/>
    <col min="6916" max="6916" width="11.33203125" style="2" customWidth="1"/>
    <col min="6917" max="6917" width="10" style="2" customWidth="1"/>
    <col min="6918" max="6918" width="10.88671875" style="2" customWidth="1"/>
    <col min="6919" max="6919" width="8.88671875" style="2" customWidth="1"/>
    <col min="6920" max="6920" width="9.88671875" style="2" customWidth="1"/>
    <col min="6921" max="6921" width="9.109375" style="2"/>
    <col min="6922" max="6923" width="8.109375" style="2" customWidth="1"/>
    <col min="6924" max="6924" width="7.88671875" style="2" customWidth="1"/>
    <col min="6925" max="6925" width="8.44140625" style="2" customWidth="1"/>
    <col min="6926" max="6926" width="7" style="2" customWidth="1"/>
    <col min="6927" max="6927" width="9.88671875" style="2" customWidth="1"/>
    <col min="6928" max="6928" width="7.6640625" style="2" customWidth="1"/>
    <col min="6929" max="6929" width="6.6640625" style="2" bestFit="1" customWidth="1"/>
    <col min="6930" max="6930" width="7.33203125" style="2" bestFit="1" customWidth="1"/>
    <col min="6931" max="7167" width="9.109375" style="2"/>
    <col min="7168" max="7168" width="5" style="2" customWidth="1"/>
    <col min="7169" max="7169" width="39.33203125" style="2" customWidth="1"/>
    <col min="7170" max="7170" width="12.88671875" style="2" customWidth="1"/>
    <col min="7171" max="7171" width="12.5546875" style="2" customWidth="1"/>
    <col min="7172" max="7172" width="11.33203125" style="2" customWidth="1"/>
    <col min="7173" max="7173" width="10" style="2" customWidth="1"/>
    <col min="7174" max="7174" width="10.88671875" style="2" customWidth="1"/>
    <col min="7175" max="7175" width="8.88671875" style="2" customWidth="1"/>
    <col min="7176" max="7176" width="9.88671875" style="2" customWidth="1"/>
    <col min="7177" max="7177" width="9.109375" style="2"/>
    <col min="7178" max="7179" width="8.109375" style="2" customWidth="1"/>
    <col min="7180" max="7180" width="7.88671875" style="2" customWidth="1"/>
    <col min="7181" max="7181" width="8.44140625" style="2" customWidth="1"/>
    <col min="7182" max="7182" width="7" style="2" customWidth="1"/>
    <col min="7183" max="7183" width="9.88671875" style="2" customWidth="1"/>
    <col min="7184" max="7184" width="7.6640625" style="2" customWidth="1"/>
    <col min="7185" max="7185" width="6.6640625" style="2" bestFit="1" customWidth="1"/>
    <col min="7186" max="7186" width="7.33203125" style="2" bestFit="1" customWidth="1"/>
    <col min="7187" max="7423" width="9.109375" style="2"/>
    <col min="7424" max="7424" width="5" style="2" customWidth="1"/>
    <col min="7425" max="7425" width="39.33203125" style="2" customWidth="1"/>
    <col min="7426" max="7426" width="12.88671875" style="2" customWidth="1"/>
    <col min="7427" max="7427" width="12.5546875" style="2" customWidth="1"/>
    <col min="7428" max="7428" width="11.33203125" style="2" customWidth="1"/>
    <col min="7429" max="7429" width="10" style="2" customWidth="1"/>
    <col min="7430" max="7430" width="10.88671875" style="2" customWidth="1"/>
    <col min="7431" max="7431" width="8.88671875" style="2" customWidth="1"/>
    <col min="7432" max="7432" width="9.88671875" style="2" customWidth="1"/>
    <col min="7433" max="7433" width="9.109375" style="2"/>
    <col min="7434" max="7435" width="8.109375" style="2" customWidth="1"/>
    <col min="7436" max="7436" width="7.88671875" style="2" customWidth="1"/>
    <col min="7437" max="7437" width="8.44140625" style="2" customWidth="1"/>
    <col min="7438" max="7438" width="7" style="2" customWidth="1"/>
    <col min="7439" max="7439" width="9.88671875" style="2" customWidth="1"/>
    <col min="7440" max="7440" width="7.6640625" style="2" customWidth="1"/>
    <col min="7441" max="7441" width="6.6640625" style="2" bestFit="1" customWidth="1"/>
    <col min="7442" max="7442" width="7.33203125" style="2" bestFit="1" customWidth="1"/>
    <col min="7443" max="7679" width="9.109375" style="2"/>
    <col min="7680" max="7680" width="5" style="2" customWidth="1"/>
    <col min="7681" max="7681" width="39.33203125" style="2" customWidth="1"/>
    <col min="7682" max="7682" width="12.88671875" style="2" customWidth="1"/>
    <col min="7683" max="7683" width="12.5546875" style="2" customWidth="1"/>
    <col min="7684" max="7684" width="11.33203125" style="2" customWidth="1"/>
    <col min="7685" max="7685" width="10" style="2" customWidth="1"/>
    <col min="7686" max="7686" width="10.88671875" style="2" customWidth="1"/>
    <col min="7687" max="7687" width="8.88671875" style="2" customWidth="1"/>
    <col min="7688" max="7688" width="9.88671875" style="2" customWidth="1"/>
    <col min="7689" max="7689" width="9.109375" style="2"/>
    <col min="7690" max="7691" width="8.109375" style="2" customWidth="1"/>
    <col min="7692" max="7692" width="7.88671875" style="2" customWidth="1"/>
    <col min="7693" max="7693" width="8.44140625" style="2" customWidth="1"/>
    <col min="7694" max="7694" width="7" style="2" customWidth="1"/>
    <col min="7695" max="7695" width="9.88671875" style="2" customWidth="1"/>
    <col min="7696" max="7696" width="7.6640625" style="2" customWidth="1"/>
    <col min="7697" max="7697" width="6.6640625" style="2" bestFit="1" customWidth="1"/>
    <col min="7698" max="7698" width="7.33203125" style="2" bestFit="1" customWidth="1"/>
    <col min="7699" max="7935" width="9.109375" style="2"/>
    <col min="7936" max="7936" width="5" style="2" customWidth="1"/>
    <col min="7937" max="7937" width="39.33203125" style="2" customWidth="1"/>
    <col min="7938" max="7938" width="12.88671875" style="2" customWidth="1"/>
    <col min="7939" max="7939" width="12.5546875" style="2" customWidth="1"/>
    <col min="7940" max="7940" width="11.33203125" style="2" customWidth="1"/>
    <col min="7941" max="7941" width="10" style="2" customWidth="1"/>
    <col min="7942" max="7942" width="10.88671875" style="2" customWidth="1"/>
    <col min="7943" max="7943" width="8.88671875" style="2" customWidth="1"/>
    <col min="7944" max="7944" width="9.88671875" style="2" customWidth="1"/>
    <col min="7945" max="7945" width="9.109375" style="2"/>
    <col min="7946" max="7947" width="8.109375" style="2" customWidth="1"/>
    <col min="7948" max="7948" width="7.88671875" style="2" customWidth="1"/>
    <col min="7949" max="7949" width="8.44140625" style="2" customWidth="1"/>
    <col min="7950" max="7950" width="7" style="2" customWidth="1"/>
    <col min="7951" max="7951" width="9.88671875" style="2" customWidth="1"/>
    <col min="7952" max="7952" width="7.6640625" style="2" customWidth="1"/>
    <col min="7953" max="7953" width="6.6640625" style="2" bestFit="1" customWidth="1"/>
    <col min="7954" max="7954" width="7.33203125" style="2" bestFit="1" customWidth="1"/>
    <col min="7955" max="8191" width="9.109375" style="2"/>
    <col min="8192" max="8192" width="5" style="2" customWidth="1"/>
    <col min="8193" max="8193" width="39.33203125" style="2" customWidth="1"/>
    <col min="8194" max="8194" width="12.88671875" style="2" customWidth="1"/>
    <col min="8195" max="8195" width="12.5546875" style="2" customWidth="1"/>
    <col min="8196" max="8196" width="11.33203125" style="2" customWidth="1"/>
    <col min="8197" max="8197" width="10" style="2" customWidth="1"/>
    <col min="8198" max="8198" width="10.88671875" style="2" customWidth="1"/>
    <col min="8199" max="8199" width="8.88671875" style="2" customWidth="1"/>
    <col min="8200" max="8200" width="9.88671875" style="2" customWidth="1"/>
    <col min="8201" max="8201" width="9.109375" style="2"/>
    <col min="8202" max="8203" width="8.109375" style="2" customWidth="1"/>
    <col min="8204" max="8204" width="7.88671875" style="2" customWidth="1"/>
    <col min="8205" max="8205" width="8.44140625" style="2" customWidth="1"/>
    <col min="8206" max="8206" width="7" style="2" customWidth="1"/>
    <col min="8207" max="8207" width="9.88671875" style="2" customWidth="1"/>
    <col min="8208" max="8208" width="7.6640625" style="2" customWidth="1"/>
    <col min="8209" max="8209" width="6.6640625" style="2" bestFit="1" customWidth="1"/>
    <col min="8210" max="8210" width="7.33203125" style="2" bestFit="1" customWidth="1"/>
    <col min="8211" max="8447" width="9.109375" style="2"/>
    <col min="8448" max="8448" width="5" style="2" customWidth="1"/>
    <col min="8449" max="8449" width="39.33203125" style="2" customWidth="1"/>
    <col min="8450" max="8450" width="12.88671875" style="2" customWidth="1"/>
    <col min="8451" max="8451" width="12.5546875" style="2" customWidth="1"/>
    <col min="8452" max="8452" width="11.33203125" style="2" customWidth="1"/>
    <col min="8453" max="8453" width="10" style="2" customWidth="1"/>
    <col min="8454" max="8454" width="10.88671875" style="2" customWidth="1"/>
    <col min="8455" max="8455" width="8.88671875" style="2" customWidth="1"/>
    <col min="8456" max="8456" width="9.88671875" style="2" customWidth="1"/>
    <col min="8457" max="8457" width="9.109375" style="2"/>
    <col min="8458" max="8459" width="8.109375" style="2" customWidth="1"/>
    <col min="8460" max="8460" width="7.88671875" style="2" customWidth="1"/>
    <col min="8461" max="8461" width="8.44140625" style="2" customWidth="1"/>
    <col min="8462" max="8462" width="7" style="2" customWidth="1"/>
    <col min="8463" max="8463" width="9.88671875" style="2" customWidth="1"/>
    <col min="8464" max="8464" width="7.6640625" style="2" customWidth="1"/>
    <col min="8465" max="8465" width="6.6640625" style="2" bestFit="1" customWidth="1"/>
    <col min="8466" max="8466" width="7.33203125" style="2" bestFit="1" customWidth="1"/>
    <col min="8467" max="8703" width="9.109375" style="2"/>
    <col min="8704" max="8704" width="5" style="2" customWidth="1"/>
    <col min="8705" max="8705" width="39.33203125" style="2" customWidth="1"/>
    <col min="8706" max="8706" width="12.88671875" style="2" customWidth="1"/>
    <col min="8707" max="8707" width="12.5546875" style="2" customWidth="1"/>
    <col min="8708" max="8708" width="11.33203125" style="2" customWidth="1"/>
    <col min="8709" max="8709" width="10" style="2" customWidth="1"/>
    <col min="8710" max="8710" width="10.88671875" style="2" customWidth="1"/>
    <col min="8711" max="8711" width="8.88671875" style="2" customWidth="1"/>
    <col min="8712" max="8712" width="9.88671875" style="2" customWidth="1"/>
    <col min="8713" max="8713" width="9.109375" style="2"/>
    <col min="8714" max="8715" width="8.109375" style="2" customWidth="1"/>
    <col min="8716" max="8716" width="7.88671875" style="2" customWidth="1"/>
    <col min="8717" max="8717" width="8.44140625" style="2" customWidth="1"/>
    <col min="8718" max="8718" width="7" style="2" customWidth="1"/>
    <col min="8719" max="8719" width="9.88671875" style="2" customWidth="1"/>
    <col min="8720" max="8720" width="7.6640625" style="2" customWidth="1"/>
    <col min="8721" max="8721" width="6.6640625" style="2" bestFit="1" customWidth="1"/>
    <col min="8722" max="8722" width="7.33203125" style="2" bestFit="1" customWidth="1"/>
    <col min="8723" max="8959" width="9.109375" style="2"/>
    <col min="8960" max="8960" width="5" style="2" customWidth="1"/>
    <col min="8961" max="8961" width="39.33203125" style="2" customWidth="1"/>
    <col min="8962" max="8962" width="12.88671875" style="2" customWidth="1"/>
    <col min="8963" max="8963" width="12.5546875" style="2" customWidth="1"/>
    <col min="8964" max="8964" width="11.33203125" style="2" customWidth="1"/>
    <col min="8965" max="8965" width="10" style="2" customWidth="1"/>
    <col min="8966" max="8966" width="10.88671875" style="2" customWidth="1"/>
    <col min="8967" max="8967" width="8.88671875" style="2" customWidth="1"/>
    <col min="8968" max="8968" width="9.88671875" style="2" customWidth="1"/>
    <col min="8969" max="8969" width="9.109375" style="2"/>
    <col min="8970" max="8971" width="8.109375" style="2" customWidth="1"/>
    <col min="8972" max="8972" width="7.88671875" style="2" customWidth="1"/>
    <col min="8973" max="8973" width="8.44140625" style="2" customWidth="1"/>
    <col min="8974" max="8974" width="7" style="2" customWidth="1"/>
    <col min="8975" max="8975" width="9.88671875" style="2" customWidth="1"/>
    <col min="8976" max="8976" width="7.6640625" style="2" customWidth="1"/>
    <col min="8977" max="8977" width="6.6640625" style="2" bestFit="1" customWidth="1"/>
    <col min="8978" max="8978" width="7.33203125" style="2" bestFit="1" customWidth="1"/>
    <col min="8979" max="9215" width="9.109375" style="2"/>
    <col min="9216" max="9216" width="5" style="2" customWidth="1"/>
    <col min="9217" max="9217" width="39.33203125" style="2" customWidth="1"/>
    <col min="9218" max="9218" width="12.88671875" style="2" customWidth="1"/>
    <col min="9219" max="9219" width="12.5546875" style="2" customWidth="1"/>
    <col min="9220" max="9220" width="11.33203125" style="2" customWidth="1"/>
    <col min="9221" max="9221" width="10" style="2" customWidth="1"/>
    <col min="9222" max="9222" width="10.88671875" style="2" customWidth="1"/>
    <col min="9223" max="9223" width="8.88671875" style="2" customWidth="1"/>
    <col min="9224" max="9224" width="9.88671875" style="2" customWidth="1"/>
    <col min="9225" max="9225" width="9.109375" style="2"/>
    <col min="9226" max="9227" width="8.109375" style="2" customWidth="1"/>
    <col min="9228" max="9228" width="7.88671875" style="2" customWidth="1"/>
    <col min="9229" max="9229" width="8.44140625" style="2" customWidth="1"/>
    <col min="9230" max="9230" width="7" style="2" customWidth="1"/>
    <col min="9231" max="9231" width="9.88671875" style="2" customWidth="1"/>
    <col min="9232" max="9232" width="7.6640625" style="2" customWidth="1"/>
    <col min="9233" max="9233" width="6.6640625" style="2" bestFit="1" customWidth="1"/>
    <col min="9234" max="9234" width="7.33203125" style="2" bestFit="1" customWidth="1"/>
    <col min="9235" max="9471" width="9.109375" style="2"/>
    <col min="9472" max="9472" width="5" style="2" customWidth="1"/>
    <col min="9473" max="9473" width="39.33203125" style="2" customWidth="1"/>
    <col min="9474" max="9474" width="12.88671875" style="2" customWidth="1"/>
    <col min="9475" max="9475" width="12.5546875" style="2" customWidth="1"/>
    <col min="9476" max="9476" width="11.33203125" style="2" customWidth="1"/>
    <col min="9477" max="9477" width="10" style="2" customWidth="1"/>
    <col min="9478" max="9478" width="10.88671875" style="2" customWidth="1"/>
    <col min="9479" max="9479" width="8.88671875" style="2" customWidth="1"/>
    <col min="9480" max="9480" width="9.88671875" style="2" customWidth="1"/>
    <col min="9481" max="9481" width="9.109375" style="2"/>
    <col min="9482" max="9483" width="8.109375" style="2" customWidth="1"/>
    <col min="9484" max="9484" width="7.88671875" style="2" customWidth="1"/>
    <col min="9485" max="9485" width="8.44140625" style="2" customWidth="1"/>
    <col min="9486" max="9486" width="7" style="2" customWidth="1"/>
    <col min="9487" max="9487" width="9.88671875" style="2" customWidth="1"/>
    <col min="9488" max="9488" width="7.6640625" style="2" customWidth="1"/>
    <col min="9489" max="9489" width="6.6640625" style="2" bestFit="1" customWidth="1"/>
    <col min="9490" max="9490" width="7.33203125" style="2" bestFit="1" customWidth="1"/>
    <col min="9491" max="9727" width="9.109375" style="2"/>
    <col min="9728" max="9728" width="5" style="2" customWidth="1"/>
    <col min="9729" max="9729" width="39.33203125" style="2" customWidth="1"/>
    <col min="9730" max="9730" width="12.88671875" style="2" customWidth="1"/>
    <col min="9731" max="9731" width="12.5546875" style="2" customWidth="1"/>
    <col min="9732" max="9732" width="11.33203125" style="2" customWidth="1"/>
    <col min="9733" max="9733" width="10" style="2" customWidth="1"/>
    <col min="9734" max="9734" width="10.88671875" style="2" customWidth="1"/>
    <col min="9735" max="9735" width="8.88671875" style="2" customWidth="1"/>
    <col min="9736" max="9736" width="9.88671875" style="2" customWidth="1"/>
    <col min="9737" max="9737" width="9.109375" style="2"/>
    <col min="9738" max="9739" width="8.109375" style="2" customWidth="1"/>
    <col min="9740" max="9740" width="7.88671875" style="2" customWidth="1"/>
    <col min="9741" max="9741" width="8.44140625" style="2" customWidth="1"/>
    <col min="9742" max="9742" width="7" style="2" customWidth="1"/>
    <col min="9743" max="9743" width="9.88671875" style="2" customWidth="1"/>
    <col min="9744" max="9744" width="7.6640625" style="2" customWidth="1"/>
    <col min="9745" max="9745" width="6.6640625" style="2" bestFit="1" customWidth="1"/>
    <col min="9746" max="9746" width="7.33203125" style="2" bestFit="1" customWidth="1"/>
    <col min="9747" max="9983" width="9.109375" style="2"/>
    <col min="9984" max="9984" width="5" style="2" customWidth="1"/>
    <col min="9985" max="9985" width="39.33203125" style="2" customWidth="1"/>
    <col min="9986" max="9986" width="12.88671875" style="2" customWidth="1"/>
    <col min="9987" max="9987" width="12.5546875" style="2" customWidth="1"/>
    <col min="9988" max="9988" width="11.33203125" style="2" customWidth="1"/>
    <col min="9989" max="9989" width="10" style="2" customWidth="1"/>
    <col min="9990" max="9990" width="10.88671875" style="2" customWidth="1"/>
    <col min="9991" max="9991" width="8.88671875" style="2" customWidth="1"/>
    <col min="9992" max="9992" width="9.88671875" style="2" customWidth="1"/>
    <col min="9993" max="9993" width="9.109375" style="2"/>
    <col min="9994" max="9995" width="8.109375" style="2" customWidth="1"/>
    <col min="9996" max="9996" width="7.88671875" style="2" customWidth="1"/>
    <col min="9997" max="9997" width="8.44140625" style="2" customWidth="1"/>
    <col min="9998" max="9998" width="7" style="2" customWidth="1"/>
    <col min="9999" max="9999" width="9.88671875" style="2" customWidth="1"/>
    <col min="10000" max="10000" width="7.6640625" style="2" customWidth="1"/>
    <col min="10001" max="10001" width="6.6640625" style="2" bestFit="1" customWidth="1"/>
    <col min="10002" max="10002" width="7.33203125" style="2" bestFit="1" customWidth="1"/>
    <col min="10003" max="10239" width="9.109375" style="2"/>
    <col min="10240" max="10240" width="5" style="2" customWidth="1"/>
    <col min="10241" max="10241" width="39.33203125" style="2" customWidth="1"/>
    <col min="10242" max="10242" width="12.88671875" style="2" customWidth="1"/>
    <col min="10243" max="10243" width="12.5546875" style="2" customWidth="1"/>
    <col min="10244" max="10244" width="11.33203125" style="2" customWidth="1"/>
    <col min="10245" max="10245" width="10" style="2" customWidth="1"/>
    <col min="10246" max="10246" width="10.88671875" style="2" customWidth="1"/>
    <col min="10247" max="10247" width="8.88671875" style="2" customWidth="1"/>
    <col min="10248" max="10248" width="9.88671875" style="2" customWidth="1"/>
    <col min="10249" max="10249" width="9.109375" style="2"/>
    <col min="10250" max="10251" width="8.109375" style="2" customWidth="1"/>
    <col min="10252" max="10252" width="7.88671875" style="2" customWidth="1"/>
    <col min="10253" max="10253" width="8.44140625" style="2" customWidth="1"/>
    <col min="10254" max="10254" width="7" style="2" customWidth="1"/>
    <col min="10255" max="10255" width="9.88671875" style="2" customWidth="1"/>
    <col min="10256" max="10256" width="7.6640625" style="2" customWidth="1"/>
    <col min="10257" max="10257" width="6.6640625" style="2" bestFit="1" customWidth="1"/>
    <col min="10258" max="10258" width="7.33203125" style="2" bestFit="1" customWidth="1"/>
    <col min="10259" max="10495" width="9.109375" style="2"/>
    <col min="10496" max="10496" width="5" style="2" customWidth="1"/>
    <col min="10497" max="10497" width="39.33203125" style="2" customWidth="1"/>
    <col min="10498" max="10498" width="12.88671875" style="2" customWidth="1"/>
    <col min="10499" max="10499" width="12.5546875" style="2" customWidth="1"/>
    <col min="10500" max="10500" width="11.33203125" style="2" customWidth="1"/>
    <col min="10501" max="10501" width="10" style="2" customWidth="1"/>
    <col min="10502" max="10502" width="10.88671875" style="2" customWidth="1"/>
    <col min="10503" max="10503" width="8.88671875" style="2" customWidth="1"/>
    <col min="10504" max="10504" width="9.88671875" style="2" customWidth="1"/>
    <col min="10505" max="10505" width="9.109375" style="2"/>
    <col min="10506" max="10507" width="8.109375" style="2" customWidth="1"/>
    <col min="10508" max="10508" width="7.88671875" style="2" customWidth="1"/>
    <col min="10509" max="10509" width="8.44140625" style="2" customWidth="1"/>
    <col min="10510" max="10510" width="7" style="2" customWidth="1"/>
    <col min="10511" max="10511" width="9.88671875" style="2" customWidth="1"/>
    <col min="10512" max="10512" width="7.6640625" style="2" customWidth="1"/>
    <col min="10513" max="10513" width="6.6640625" style="2" bestFit="1" customWidth="1"/>
    <col min="10514" max="10514" width="7.33203125" style="2" bestFit="1" customWidth="1"/>
    <col min="10515" max="10751" width="9.109375" style="2"/>
    <col min="10752" max="10752" width="5" style="2" customWidth="1"/>
    <col min="10753" max="10753" width="39.33203125" style="2" customWidth="1"/>
    <col min="10754" max="10754" width="12.88671875" style="2" customWidth="1"/>
    <col min="10755" max="10755" width="12.5546875" style="2" customWidth="1"/>
    <col min="10756" max="10756" width="11.33203125" style="2" customWidth="1"/>
    <col min="10757" max="10757" width="10" style="2" customWidth="1"/>
    <col min="10758" max="10758" width="10.88671875" style="2" customWidth="1"/>
    <col min="10759" max="10759" width="8.88671875" style="2" customWidth="1"/>
    <col min="10760" max="10760" width="9.88671875" style="2" customWidth="1"/>
    <col min="10761" max="10761" width="9.109375" style="2"/>
    <col min="10762" max="10763" width="8.109375" style="2" customWidth="1"/>
    <col min="10764" max="10764" width="7.88671875" style="2" customWidth="1"/>
    <col min="10765" max="10765" width="8.44140625" style="2" customWidth="1"/>
    <col min="10766" max="10766" width="7" style="2" customWidth="1"/>
    <col min="10767" max="10767" width="9.88671875" style="2" customWidth="1"/>
    <col min="10768" max="10768" width="7.6640625" style="2" customWidth="1"/>
    <col min="10769" max="10769" width="6.6640625" style="2" bestFit="1" customWidth="1"/>
    <col min="10770" max="10770" width="7.33203125" style="2" bestFit="1" customWidth="1"/>
    <col min="10771" max="11007" width="9.109375" style="2"/>
    <col min="11008" max="11008" width="5" style="2" customWidth="1"/>
    <col min="11009" max="11009" width="39.33203125" style="2" customWidth="1"/>
    <col min="11010" max="11010" width="12.88671875" style="2" customWidth="1"/>
    <col min="11011" max="11011" width="12.5546875" style="2" customWidth="1"/>
    <col min="11012" max="11012" width="11.33203125" style="2" customWidth="1"/>
    <col min="11013" max="11013" width="10" style="2" customWidth="1"/>
    <col min="11014" max="11014" width="10.88671875" style="2" customWidth="1"/>
    <col min="11015" max="11015" width="8.88671875" style="2" customWidth="1"/>
    <col min="11016" max="11016" width="9.88671875" style="2" customWidth="1"/>
    <col min="11017" max="11017" width="9.109375" style="2"/>
    <col min="11018" max="11019" width="8.109375" style="2" customWidth="1"/>
    <col min="11020" max="11020" width="7.88671875" style="2" customWidth="1"/>
    <col min="11021" max="11021" width="8.44140625" style="2" customWidth="1"/>
    <col min="11022" max="11022" width="7" style="2" customWidth="1"/>
    <col min="11023" max="11023" width="9.88671875" style="2" customWidth="1"/>
    <col min="11024" max="11024" width="7.6640625" style="2" customWidth="1"/>
    <col min="11025" max="11025" width="6.6640625" style="2" bestFit="1" customWidth="1"/>
    <col min="11026" max="11026" width="7.33203125" style="2" bestFit="1" customWidth="1"/>
    <col min="11027" max="11263" width="9.109375" style="2"/>
    <col min="11264" max="11264" width="5" style="2" customWidth="1"/>
    <col min="11265" max="11265" width="39.33203125" style="2" customWidth="1"/>
    <col min="11266" max="11266" width="12.88671875" style="2" customWidth="1"/>
    <col min="11267" max="11267" width="12.5546875" style="2" customWidth="1"/>
    <col min="11268" max="11268" width="11.33203125" style="2" customWidth="1"/>
    <col min="11269" max="11269" width="10" style="2" customWidth="1"/>
    <col min="11270" max="11270" width="10.88671875" style="2" customWidth="1"/>
    <col min="11271" max="11271" width="8.88671875" style="2" customWidth="1"/>
    <col min="11272" max="11272" width="9.88671875" style="2" customWidth="1"/>
    <col min="11273" max="11273" width="9.109375" style="2"/>
    <col min="11274" max="11275" width="8.109375" style="2" customWidth="1"/>
    <col min="11276" max="11276" width="7.88671875" style="2" customWidth="1"/>
    <col min="11277" max="11277" width="8.44140625" style="2" customWidth="1"/>
    <col min="11278" max="11278" width="7" style="2" customWidth="1"/>
    <col min="11279" max="11279" width="9.88671875" style="2" customWidth="1"/>
    <col min="11280" max="11280" width="7.6640625" style="2" customWidth="1"/>
    <col min="11281" max="11281" width="6.6640625" style="2" bestFit="1" customWidth="1"/>
    <col min="11282" max="11282" width="7.33203125" style="2" bestFit="1" customWidth="1"/>
    <col min="11283" max="11519" width="9.109375" style="2"/>
    <col min="11520" max="11520" width="5" style="2" customWidth="1"/>
    <col min="11521" max="11521" width="39.33203125" style="2" customWidth="1"/>
    <col min="11522" max="11522" width="12.88671875" style="2" customWidth="1"/>
    <col min="11523" max="11523" width="12.5546875" style="2" customWidth="1"/>
    <col min="11524" max="11524" width="11.33203125" style="2" customWidth="1"/>
    <col min="11525" max="11525" width="10" style="2" customWidth="1"/>
    <col min="11526" max="11526" width="10.88671875" style="2" customWidth="1"/>
    <col min="11527" max="11527" width="8.88671875" style="2" customWidth="1"/>
    <col min="11528" max="11528" width="9.88671875" style="2" customWidth="1"/>
    <col min="11529" max="11529" width="9.109375" style="2"/>
    <col min="11530" max="11531" width="8.109375" style="2" customWidth="1"/>
    <col min="11532" max="11532" width="7.88671875" style="2" customWidth="1"/>
    <col min="11533" max="11533" width="8.44140625" style="2" customWidth="1"/>
    <col min="11534" max="11534" width="7" style="2" customWidth="1"/>
    <col min="11535" max="11535" width="9.88671875" style="2" customWidth="1"/>
    <col min="11536" max="11536" width="7.6640625" style="2" customWidth="1"/>
    <col min="11537" max="11537" width="6.6640625" style="2" bestFit="1" customWidth="1"/>
    <col min="11538" max="11538" width="7.33203125" style="2" bestFit="1" customWidth="1"/>
    <col min="11539" max="11775" width="9.109375" style="2"/>
    <col min="11776" max="11776" width="5" style="2" customWidth="1"/>
    <col min="11777" max="11777" width="39.33203125" style="2" customWidth="1"/>
    <col min="11778" max="11778" width="12.88671875" style="2" customWidth="1"/>
    <col min="11779" max="11779" width="12.5546875" style="2" customWidth="1"/>
    <col min="11780" max="11780" width="11.33203125" style="2" customWidth="1"/>
    <col min="11781" max="11781" width="10" style="2" customWidth="1"/>
    <col min="11782" max="11782" width="10.88671875" style="2" customWidth="1"/>
    <col min="11783" max="11783" width="8.88671875" style="2" customWidth="1"/>
    <col min="11784" max="11784" width="9.88671875" style="2" customWidth="1"/>
    <col min="11785" max="11785" width="9.109375" style="2"/>
    <col min="11786" max="11787" width="8.109375" style="2" customWidth="1"/>
    <col min="11788" max="11788" width="7.88671875" style="2" customWidth="1"/>
    <col min="11789" max="11789" width="8.44140625" style="2" customWidth="1"/>
    <col min="11790" max="11790" width="7" style="2" customWidth="1"/>
    <col min="11791" max="11791" width="9.88671875" style="2" customWidth="1"/>
    <col min="11792" max="11792" width="7.6640625" style="2" customWidth="1"/>
    <col min="11793" max="11793" width="6.6640625" style="2" bestFit="1" customWidth="1"/>
    <col min="11794" max="11794" width="7.33203125" style="2" bestFit="1" customWidth="1"/>
    <col min="11795" max="12031" width="9.109375" style="2"/>
    <col min="12032" max="12032" width="5" style="2" customWidth="1"/>
    <col min="12033" max="12033" width="39.33203125" style="2" customWidth="1"/>
    <col min="12034" max="12034" width="12.88671875" style="2" customWidth="1"/>
    <col min="12035" max="12035" width="12.5546875" style="2" customWidth="1"/>
    <col min="12036" max="12036" width="11.33203125" style="2" customWidth="1"/>
    <col min="12037" max="12037" width="10" style="2" customWidth="1"/>
    <col min="12038" max="12038" width="10.88671875" style="2" customWidth="1"/>
    <col min="12039" max="12039" width="8.88671875" style="2" customWidth="1"/>
    <col min="12040" max="12040" width="9.88671875" style="2" customWidth="1"/>
    <col min="12041" max="12041" width="9.109375" style="2"/>
    <col min="12042" max="12043" width="8.109375" style="2" customWidth="1"/>
    <col min="12044" max="12044" width="7.88671875" style="2" customWidth="1"/>
    <col min="12045" max="12045" width="8.44140625" style="2" customWidth="1"/>
    <col min="12046" max="12046" width="7" style="2" customWidth="1"/>
    <col min="12047" max="12047" width="9.88671875" style="2" customWidth="1"/>
    <col min="12048" max="12048" width="7.6640625" style="2" customWidth="1"/>
    <col min="12049" max="12049" width="6.6640625" style="2" bestFit="1" customWidth="1"/>
    <col min="12050" max="12050" width="7.33203125" style="2" bestFit="1" customWidth="1"/>
    <col min="12051" max="12287" width="9.109375" style="2"/>
    <col min="12288" max="12288" width="5" style="2" customWidth="1"/>
    <col min="12289" max="12289" width="39.33203125" style="2" customWidth="1"/>
    <col min="12290" max="12290" width="12.88671875" style="2" customWidth="1"/>
    <col min="12291" max="12291" width="12.5546875" style="2" customWidth="1"/>
    <col min="12292" max="12292" width="11.33203125" style="2" customWidth="1"/>
    <col min="12293" max="12293" width="10" style="2" customWidth="1"/>
    <col min="12294" max="12294" width="10.88671875" style="2" customWidth="1"/>
    <col min="12295" max="12295" width="8.88671875" style="2" customWidth="1"/>
    <col min="12296" max="12296" width="9.88671875" style="2" customWidth="1"/>
    <col min="12297" max="12297" width="9.109375" style="2"/>
    <col min="12298" max="12299" width="8.109375" style="2" customWidth="1"/>
    <col min="12300" max="12300" width="7.88671875" style="2" customWidth="1"/>
    <col min="12301" max="12301" width="8.44140625" style="2" customWidth="1"/>
    <col min="12302" max="12302" width="7" style="2" customWidth="1"/>
    <col min="12303" max="12303" width="9.88671875" style="2" customWidth="1"/>
    <col min="12304" max="12304" width="7.6640625" style="2" customWidth="1"/>
    <col min="12305" max="12305" width="6.6640625" style="2" bestFit="1" customWidth="1"/>
    <col min="12306" max="12306" width="7.33203125" style="2" bestFit="1" customWidth="1"/>
    <col min="12307" max="12543" width="9.109375" style="2"/>
    <col min="12544" max="12544" width="5" style="2" customWidth="1"/>
    <col min="12545" max="12545" width="39.33203125" style="2" customWidth="1"/>
    <col min="12546" max="12546" width="12.88671875" style="2" customWidth="1"/>
    <col min="12547" max="12547" width="12.5546875" style="2" customWidth="1"/>
    <col min="12548" max="12548" width="11.33203125" style="2" customWidth="1"/>
    <col min="12549" max="12549" width="10" style="2" customWidth="1"/>
    <col min="12550" max="12550" width="10.88671875" style="2" customWidth="1"/>
    <col min="12551" max="12551" width="8.88671875" style="2" customWidth="1"/>
    <col min="12552" max="12552" width="9.88671875" style="2" customWidth="1"/>
    <col min="12553" max="12553" width="9.109375" style="2"/>
    <col min="12554" max="12555" width="8.109375" style="2" customWidth="1"/>
    <col min="12556" max="12556" width="7.88671875" style="2" customWidth="1"/>
    <col min="12557" max="12557" width="8.44140625" style="2" customWidth="1"/>
    <col min="12558" max="12558" width="7" style="2" customWidth="1"/>
    <col min="12559" max="12559" width="9.88671875" style="2" customWidth="1"/>
    <col min="12560" max="12560" width="7.6640625" style="2" customWidth="1"/>
    <col min="12561" max="12561" width="6.6640625" style="2" bestFit="1" customWidth="1"/>
    <col min="12562" max="12562" width="7.33203125" style="2" bestFit="1" customWidth="1"/>
    <col min="12563" max="12799" width="9.109375" style="2"/>
    <col min="12800" max="12800" width="5" style="2" customWidth="1"/>
    <col min="12801" max="12801" width="39.33203125" style="2" customWidth="1"/>
    <col min="12802" max="12802" width="12.88671875" style="2" customWidth="1"/>
    <col min="12803" max="12803" width="12.5546875" style="2" customWidth="1"/>
    <col min="12804" max="12804" width="11.33203125" style="2" customWidth="1"/>
    <col min="12805" max="12805" width="10" style="2" customWidth="1"/>
    <col min="12806" max="12806" width="10.88671875" style="2" customWidth="1"/>
    <col min="12807" max="12807" width="8.88671875" style="2" customWidth="1"/>
    <col min="12808" max="12808" width="9.88671875" style="2" customWidth="1"/>
    <col min="12809" max="12809" width="9.109375" style="2"/>
    <col min="12810" max="12811" width="8.109375" style="2" customWidth="1"/>
    <col min="12812" max="12812" width="7.88671875" style="2" customWidth="1"/>
    <col min="12813" max="12813" width="8.44140625" style="2" customWidth="1"/>
    <col min="12814" max="12814" width="7" style="2" customWidth="1"/>
    <col min="12815" max="12815" width="9.88671875" style="2" customWidth="1"/>
    <col min="12816" max="12816" width="7.6640625" style="2" customWidth="1"/>
    <col min="12817" max="12817" width="6.6640625" style="2" bestFit="1" customWidth="1"/>
    <col min="12818" max="12818" width="7.33203125" style="2" bestFit="1" customWidth="1"/>
    <col min="12819" max="13055" width="9.109375" style="2"/>
    <col min="13056" max="13056" width="5" style="2" customWidth="1"/>
    <col min="13057" max="13057" width="39.33203125" style="2" customWidth="1"/>
    <col min="13058" max="13058" width="12.88671875" style="2" customWidth="1"/>
    <col min="13059" max="13059" width="12.5546875" style="2" customWidth="1"/>
    <col min="13060" max="13060" width="11.33203125" style="2" customWidth="1"/>
    <col min="13061" max="13061" width="10" style="2" customWidth="1"/>
    <col min="13062" max="13062" width="10.88671875" style="2" customWidth="1"/>
    <col min="13063" max="13063" width="8.88671875" style="2" customWidth="1"/>
    <col min="13064" max="13064" width="9.88671875" style="2" customWidth="1"/>
    <col min="13065" max="13065" width="9.109375" style="2"/>
    <col min="13066" max="13067" width="8.109375" style="2" customWidth="1"/>
    <col min="13068" max="13068" width="7.88671875" style="2" customWidth="1"/>
    <col min="13069" max="13069" width="8.44140625" style="2" customWidth="1"/>
    <col min="13070" max="13070" width="7" style="2" customWidth="1"/>
    <col min="13071" max="13071" width="9.88671875" style="2" customWidth="1"/>
    <col min="13072" max="13072" width="7.6640625" style="2" customWidth="1"/>
    <col min="13073" max="13073" width="6.6640625" style="2" bestFit="1" customWidth="1"/>
    <col min="13074" max="13074" width="7.33203125" style="2" bestFit="1" customWidth="1"/>
    <col min="13075" max="13311" width="9.109375" style="2"/>
    <col min="13312" max="13312" width="5" style="2" customWidth="1"/>
    <col min="13313" max="13313" width="39.33203125" style="2" customWidth="1"/>
    <col min="13314" max="13314" width="12.88671875" style="2" customWidth="1"/>
    <col min="13315" max="13315" width="12.5546875" style="2" customWidth="1"/>
    <col min="13316" max="13316" width="11.33203125" style="2" customWidth="1"/>
    <col min="13317" max="13317" width="10" style="2" customWidth="1"/>
    <col min="13318" max="13318" width="10.88671875" style="2" customWidth="1"/>
    <col min="13319" max="13319" width="8.88671875" style="2" customWidth="1"/>
    <col min="13320" max="13320" width="9.88671875" style="2" customWidth="1"/>
    <col min="13321" max="13321" width="9.109375" style="2"/>
    <col min="13322" max="13323" width="8.109375" style="2" customWidth="1"/>
    <col min="13324" max="13324" width="7.88671875" style="2" customWidth="1"/>
    <col min="13325" max="13325" width="8.44140625" style="2" customWidth="1"/>
    <col min="13326" max="13326" width="7" style="2" customWidth="1"/>
    <col min="13327" max="13327" width="9.88671875" style="2" customWidth="1"/>
    <col min="13328" max="13328" width="7.6640625" style="2" customWidth="1"/>
    <col min="13329" max="13329" width="6.6640625" style="2" bestFit="1" customWidth="1"/>
    <col min="13330" max="13330" width="7.33203125" style="2" bestFit="1" customWidth="1"/>
    <col min="13331" max="13567" width="9.109375" style="2"/>
    <col min="13568" max="13568" width="5" style="2" customWidth="1"/>
    <col min="13569" max="13569" width="39.33203125" style="2" customWidth="1"/>
    <col min="13570" max="13570" width="12.88671875" style="2" customWidth="1"/>
    <col min="13571" max="13571" width="12.5546875" style="2" customWidth="1"/>
    <col min="13572" max="13572" width="11.33203125" style="2" customWidth="1"/>
    <col min="13573" max="13573" width="10" style="2" customWidth="1"/>
    <col min="13574" max="13574" width="10.88671875" style="2" customWidth="1"/>
    <col min="13575" max="13575" width="8.88671875" style="2" customWidth="1"/>
    <col min="13576" max="13576" width="9.88671875" style="2" customWidth="1"/>
    <col min="13577" max="13577" width="9.109375" style="2"/>
    <col min="13578" max="13579" width="8.109375" style="2" customWidth="1"/>
    <col min="13580" max="13580" width="7.88671875" style="2" customWidth="1"/>
    <col min="13581" max="13581" width="8.44140625" style="2" customWidth="1"/>
    <col min="13582" max="13582" width="7" style="2" customWidth="1"/>
    <col min="13583" max="13583" width="9.88671875" style="2" customWidth="1"/>
    <col min="13584" max="13584" width="7.6640625" style="2" customWidth="1"/>
    <col min="13585" max="13585" width="6.6640625" style="2" bestFit="1" customWidth="1"/>
    <col min="13586" max="13586" width="7.33203125" style="2" bestFit="1" customWidth="1"/>
    <col min="13587" max="13823" width="9.109375" style="2"/>
    <col min="13824" max="13824" width="5" style="2" customWidth="1"/>
    <col min="13825" max="13825" width="39.33203125" style="2" customWidth="1"/>
    <col min="13826" max="13826" width="12.88671875" style="2" customWidth="1"/>
    <col min="13827" max="13827" width="12.5546875" style="2" customWidth="1"/>
    <col min="13828" max="13828" width="11.33203125" style="2" customWidth="1"/>
    <col min="13829" max="13829" width="10" style="2" customWidth="1"/>
    <col min="13830" max="13830" width="10.88671875" style="2" customWidth="1"/>
    <col min="13831" max="13831" width="8.88671875" style="2" customWidth="1"/>
    <col min="13832" max="13832" width="9.88671875" style="2" customWidth="1"/>
    <col min="13833" max="13833" width="9.109375" style="2"/>
    <col min="13834" max="13835" width="8.109375" style="2" customWidth="1"/>
    <col min="13836" max="13836" width="7.88671875" style="2" customWidth="1"/>
    <col min="13837" max="13837" width="8.44140625" style="2" customWidth="1"/>
    <col min="13838" max="13838" width="7" style="2" customWidth="1"/>
    <col min="13839" max="13839" width="9.88671875" style="2" customWidth="1"/>
    <col min="13840" max="13840" width="7.6640625" style="2" customWidth="1"/>
    <col min="13841" max="13841" width="6.6640625" style="2" bestFit="1" customWidth="1"/>
    <col min="13842" max="13842" width="7.33203125" style="2" bestFit="1" customWidth="1"/>
    <col min="13843" max="14079" width="9.109375" style="2"/>
    <col min="14080" max="14080" width="5" style="2" customWidth="1"/>
    <col min="14081" max="14081" width="39.33203125" style="2" customWidth="1"/>
    <col min="14082" max="14082" width="12.88671875" style="2" customWidth="1"/>
    <col min="14083" max="14083" width="12.5546875" style="2" customWidth="1"/>
    <col min="14084" max="14084" width="11.33203125" style="2" customWidth="1"/>
    <col min="14085" max="14085" width="10" style="2" customWidth="1"/>
    <col min="14086" max="14086" width="10.88671875" style="2" customWidth="1"/>
    <col min="14087" max="14087" width="8.88671875" style="2" customWidth="1"/>
    <col min="14088" max="14088" width="9.88671875" style="2" customWidth="1"/>
    <col min="14089" max="14089" width="9.109375" style="2"/>
    <col min="14090" max="14091" width="8.109375" style="2" customWidth="1"/>
    <col min="14092" max="14092" width="7.88671875" style="2" customWidth="1"/>
    <col min="14093" max="14093" width="8.44140625" style="2" customWidth="1"/>
    <col min="14094" max="14094" width="7" style="2" customWidth="1"/>
    <col min="14095" max="14095" width="9.88671875" style="2" customWidth="1"/>
    <col min="14096" max="14096" width="7.6640625" style="2" customWidth="1"/>
    <col min="14097" max="14097" width="6.6640625" style="2" bestFit="1" customWidth="1"/>
    <col min="14098" max="14098" width="7.33203125" style="2" bestFit="1" customWidth="1"/>
    <col min="14099" max="14335" width="9.109375" style="2"/>
    <col min="14336" max="14336" width="5" style="2" customWidth="1"/>
    <col min="14337" max="14337" width="39.33203125" style="2" customWidth="1"/>
    <col min="14338" max="14338" width="12.88671875" style="2" customWidth="1"/>
    <col min="14339" max="14339" width="12.5546875" style="2" customWidth="1"/>
    <col min="14340" max="14340" width="11.33203125" style="2" customWidth="1"/>
    <col min="14341" max="14341" width="10" style="2" customWidth="1"/>
    <col min="14342" max="14342" width="10.88671875" style="2" customWidth="1"/>
    <col min="14343" max="14343" width="8.88671875" style="2" customWidth="1"/>
    <col min="14344" max="14344" width="9.88671875" style="2" customWidth="1"/>
    <col min="14345" max="14345" width="9.109375" style="2"/>
    <col min="14346" max="14347" width="8.109375" style="2" customWidth="1"/>
    <col min="14348" max="14348" width="7.88671875" style="2" customWidth="1"/>
    <col min="14349" max="14349" width="8.44140625" style="2" customWidth="1"/>
    <col min="14350" max="14350" width="7" style="2" customWidth="1"/>
    <col min="14351" max="14351" width="9.88671875" style="2" customWidth="1"/>
    <col min="14352" max="14352" width="7.6640625" style="2" customWidth="1"/>
    <col min="14353" max="14353" width="6.6640625" style="2" bestFit="1" customWidth="1"/>
    <col min="14354" max="14354" width="7.33203125" style="2" bestFit="1" customWidth="1"/>
    <col min="14355" max="14591" width="9.109375" style="2"/>
    <col min="14592" max="14592" width="5" style="2" customWidth="1"/>
    <col min="14593" max="14593" width="39.33203125" style="2" customWidth="1"/>
    <col min="14594" max="14594" width="12.88671875" style="2" customWidth="1"/>
    <col min="14595" max="14595" width="12.5546875" style="2" customWidth="1"/>
    <col min="14596" max="14596" width="11.33203125" style="2" customWidth="1"/>
    <col min="14597" max="14597" width="10" style="2" customWidth="1"/>
    <col min="14598" max="14598" width="10.88671875" style="2" customWidth="1"/>
    <col min="14599" max="14599" width="8.88671875" style="2" customWidth="1"/>
    <col min="14600" max="14600" width="9.88671875" style="2" customWidth="1"/>
    <col min="14601" max="14601" width="9.109375" style="2"/>
    <col min="14602" max="14603" width="8.109375" style="2" customWidth="1"/>
    <col min="14604" max="14604" width="7.88671875" style="2" customWidth="1"/>
    <col min="14605" max="14605" width="8.44140625" style="2" customWidth="1"/>
    <col min="14606" max="14606" width="7" style="2" customWidth="1"/>
    <col min="14607" max="14607" width="9.88671875" style="2" customWidth="1"/>
    <col min="14608" max="14608" width="7.6640625" style="2" customWidth="1"/>
    <col min="14609" max="14609" width="6.6640625" style="2" bestFit="1" customWidth="1"/>
    <col min="14610" max="14610" width="7.33203125" style="2" bestFit="1" customWidth="1"/>
    <col min="14611" max="14847" width="9.109375" style="2"/>
    <col min="14848" max="14848" width="5" style="2" customWidth="1"/>
    <col min="14849" max="14849" width="39.33203125" style="2" customWidth="1"/>
    <col min="14850" max="14850" width="12.88671875" style="2" customWidth="1"/>
    <col min="14851" max="14851" width="12.5546875" style="2" customWidth="1"/>
    <col min="14852" max="14852" width="11.33203125" style="2" customWidth="1"/>
    <col min="14853" max="14853" width="10" style="2" customWidth="1"/>
    <col min="14854" max="14854" width="10.88671875" style="2" customWidth="1"/>
    <col min="14855" max="14855" width="8.88671875" style="2" customWidth="1"/>
    <col min="14856" max="14856" width="9.88671875" style="2" customWidth="1"/>
    <col min="14857" max="14857" width="9.109375" style="2"/>
    <col min="14858" max="14859" width="8.109375" style="2" customWidth="1"/>
    <col min="14860" max="14860" width="7.88671875" style="2" customWidth="1"/>
    <col min="14861" max="14861" width="8.44140625" style="2" customWidth="1"/>
    <col min="14862" max="14862" width="7" style="2" customWidth="1"/>
    <col min="14863" max="14863" width="9.88671875" style="2" customWidth="1"/>
    <col min="14864" max="14864" width="7.6640625" style="2" customWidth="1"/>
    <col min="14865" max="14865" width="6.6640625" style="2" bestFit="1" customWidth="1"/>
    <col min="14866" max="14866" width="7.33203125" style="2" bestFit="1" customWidth="1"/>
    <col min="14867" max="15103" width="9.109375" style="2"/>
    <col min="15104" max="15104" width="5" style="2" customWidth="1"/>
    <col min="15105" max="15105" width="39.33203125" style="2" customWidth="1"/>
    <col min="15106" max="15106" width="12.88671875" style="2" customWidth="1"/>
    <col min="15107" max="15107" width="12.5546875" style="2" customWidth="1"/>
    <col min="15108" max="15108" width="11.33203125" style="2" customWidth="1"/>
    <col min="15109" max="15109" width="10" style="2" customWidth="1"/>
    <col min="15110" max="15110" width="10.88671875" style="2" customWidth="1"/>
    <col min="15111" max="15111" width="8.88671875" style="2" customWidth="1"/>
    <col min="15112" max="15112" width="9.88671875" style="2" customWidth="1"/>
    <col min="15113" max="15113" width="9.109375" style="2"/>
    <col min="15114" max="15115" width="8.109375" style="2" customWidth="1"/>
    <col min="15116" max="15116" width="7.88671875" style="2" customWidth="1"/>
    <col min="15117" max="15117" width="8.44140625" style="2" customWidth="1"/>
    <col min="15118" max="15118" width="7" style="2" customWidth="1"/>
    <col min="15119" max="15119" width="9.88671875" style="2" customWidth="1"/>
    <col min="15120" max="15120" width="7.6640625" style="2" customWidth="1"/>
    <col min="15121" max="15121" width="6.6640625" style="2" bestFit="1" customWidth="1"/>
    <col min="15122" max="15122" width="7.33203125" style="2" bestFit="1" customWidth="1"/>
    <col min="15123" max="15359" width="9.109375" style="2"/>
    <col min="15360" max="15360" width="5" style="2" customWidth="1"/>
    <col min="15361" max="15361" width="39.33203125" style="2" customWidth="1"/>
    <col min="15362" max="15362" width="12.88671875" style="2" customWidth="1"/>
    <col min="15363" max="15363" width="12.5546875" style="2" customWidth="1"/>
    <col min="15364" max="15364" width="11.33203125" style="2" customWidth="1"/>
    <col min="15365" max="15365" width="10" style="2" customWidth="1"/>
    <col min="15366" max="15366" width="10.88671875" style="2" customWidth="1"/>
    <col min="15367" max="15367" width="8.88671875" style="2" customWidth="1"/>
    <col min="15368" max="15368" width="9.88671875" style="2" customWidth="1"/>
    <col min="15369" max="15369" width="9.109375" style="2"/>
    <col min="15370" max="15371" width="8.109375" style="2" customWidth="1"/>
    <col min="15372" max="15372" width="7.88671875" style="2" customWidth="1"/>
    <col min="15373" max="15373" width="8.44140625" style="2" customWidth="1"/>
    <col min="15374" max="15374" width="7" style="2" customWidth="1"/>
    <col min="15375" max="15375" width="9.88671875" style="2" customWidth="1"/>
    <col min="15376" max="15376" width="7.6640625" style="2" customWidth="1"/>
    <col min="15377" max="15377" width="6.6640625" style="2" bestFit="1" customWidth="1"/>
    <col min="15378" max="15378" width="7.33203125" style="2" bestFit="1" customWidth="1"/>
    <col min="15379" max="15615" width="9.109375" style="2"/>
    <col min="15616" max="15616" width="5" style="2" customWidth="1"/>
    <col min="15617" max="15617" width="39.33203125" style="2" customWidth="1"/>
    <col min="15618" max="15618" width="12.88671875" style="2" customWidth="1"/>
    <col min="15619" max="15619" width="12.5546875" style="2" customWidth="1"/>
    <col min="15620" max="15620" width="11.33203125" style="2" customWidth="1"/>
    <col min="15621" max="15621" width="10" style="2" customWidth="1"/>
    <col min="15622" max="15622" width="10.88671875" style="2" customWidth="1"/>
    <col min="15623" max="15623" width="8.88671875" style="2" customWidth="1"/>
    <col min="15624" max="15624" width="9.88671875" style="2" customWidth="1"/>
    <col min="15625" max="15625" width="9.109375" style="2"/>
    <col min="15626" max="15627" width="8.109375" style="2" customWidth="1"/>
    <col min="15628" max="15628" width="7.88671875" style="2" customWidth="1"/>
    <col min="15629" max="15629" width="8.44140625" style="2" customWidth="1"/>
    <col min="15630" max="15630" width="7" style="2" customWidth="1"/>
    <col min="15631" max="15631" width="9.88671875" style="2" customWidth="1"/>
    <col min="15632" max="15632" width="7.6640625" style="2" customWidth="1"/>
    <col min="15633" max="15633" width="6.6640625" style="2" bestFit="1" customWidth="1"/>
    <col min="15634" max="15634" width="7.33203125" style="2" bestFit="1" customWidth="1"/>
    <col min="15635" max="15871" width="9.109375" style="2"/>
    <col min="15872" max="15872" width="5" style="2" customWidth="1"/>
    <col min="15873" max="15873" width="39.33203125" style="2" customWidth="1"/>
    <col min="15874" max="15874" width="12.88671875" style="2" customWidth="1"/>
    <col min="15875" max="15875" width="12.5546875" style="2" customWidth="1"/>
    <col min="15876" max="15876" width="11.33203125" style="2" customWidth="1"/>
    <col min="15877" max="15877" width="10" style="2" customWidth="1"/>
    <col min="15878" max="15878" width="10.88671875" style="2" customWidth="1"/>
    <col min="15879" max="15879" width="8.88671875" style="2" customWidth="1"/>
    <col min="15880" max="15880" width="9.88671875" style="2" customWidth="1"/>
    <col min="15881" max="15881" width="9.109375" style="2"/>
    <col min="15882" max="15883" width="8.109375" style="2" customWidth="1"/>
    <col min="15884" max="15884" width="7.88671875" style="2" customWidth="1"/>
    <col min="15885" max="15885" width="8.44140625" style="2" customWidth="1"/>
    <col min="15886" max="15886" width="7" style="2" customWidth="1"/>
    <col min="15887" max="15887" width="9.88671875" style="2" customWidth="1"/>
    <col min="15888" max="15888" width="7.6640625" style="2" customWidth="1"/>
    <col min="15889" max="15889" width="6.6640625" style="2" bestFit="1" customWidth="1"/>
    <col min="15890" max="15890" width="7.33203125" style="2" bestFit="1" customWidth="1"/>
    <col min="15891" max="16127" width="9.109375" style="2"/>
    <col min="16128" max="16128" width="5" style="2" customWidth="1"/>
    <col min="16129" max="16129" width="39.33203125" style="2" customWidth="1"/>
    <col min="16130" max="16130" width="12.88671875" style="2" customWidth="1"/>
    <col min="16131" max="16131" width="12.5546875" style="2" customWidth="1"/>
    <col min="16132" max="16132" width="11.33203125" style="2" customWidth="1"/>
    <col min="16133" max="16133" width="10" style="2" customWidth="1"/>
    <col min="16134" max="16134" width="10.88671875" style="2" customWidth="1"/>
    <col min="16135" max="16135" width="8.88671875" style="2" customWidth="1"/>
    <col min="16136" max="16136" width="9.88671875" style="2" customWidth="1"/>
    <col min="16137" max="16137" width="9.109375" style="2"/>
    <col min="16138" max="16139" width="8.109375" style="2" customWidth="1"/>
    <col min="16140" max="16140" width="7.88671875" style="2" customWidth="1"/>
    <col min="16141" max="16141" width="8.44140625" style="2" customWidth="1"/>
    <col min="16142" max="16142" width="7" style="2" customWidth="1"/>
    <col min="16143" max="16143" width="9.88671875" style="2" customWidth="1"/>
    <col min="16144" max="16144" width="7.6640625" style="2" customWidth="1"/>
    <col min="16145" max="16145" width="6.6640625" style="2" bestFit="1" customWidth="1"/>
    <col min="16146" max="16146" width="7.33203125" style="2" bestFit="1" customWidth="1"/>
    <col min="16147" max="16384" width="9.109375" style="2"/>
  </cols>
  <sheetData>
    <row r="1" spans="1:22">
      <c r="A1" s="191"/>
      <c r="B1" s="192"/>
      <c r="C1" s="192"/>
      <c r="D1" s="192"/>
      <c r="E1" s="192"/>
      <c r="F1" s="192"/>
      <c r="G1" s="192"/>
      <c r="H1" s="192"/>
      <c r="I1" s="192"/>
      <c r="J1" s="193"/>
      <c r="K1" s="194"/>
      <c r="L1" s="194"/>
      <c r="M1" s="194"/>
      <c r="N1" s="195"/>
    </row>
    <row r="2" spans="1:22" ht="14.4" thickBot="1">
      <c r="A2" s="196" t="s">
        <v>0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8"/>
    </row>
    <row r="3" spans="1:22" s="1" customFormat="1" ht="16.2" thickTop="1">
      <c r="A3" s="199" t="s">
        <v>1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1"/>
      <c r="M3" s="201"/>
      <c r="N3" s="202"/>
      <c r="V3" s="91"/>
    </row>
    <row r="4" spans="1:22" ht="15.6">
      <c r="A4" s="101">
        <v>1</v>
      </c>
      <c r="B4" s="3" t="s">
        <v>2</v>
      </c>
      <c r="C4" s="203">
        <v>0</v>
      </c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5"/>
      <c r="V4" s="92" t="s">
        <v>120</v>
      </c>
    </row>
    <row r="5" spans="1:22" ht="15.6">
      <c r="A5" s="101">
        <v>2</v>
      </c>
      <c r="B5" s="3" t="s">
        <v>3</v>
      </c>
      <c r="C5" s="206">
        <v>0</v>
      </c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8"/>
      <c r="V5" s="92" t="s">
        <v>4</v>
      </c>
    </row>
    <row r="6" spans="1:22" ht="16.2" thickBot="1">
      <c r="A6" s="102">
        <v>3</v>
      </c>
      <c r="B6" s="118" t="s">
        <v>5</v>
      </c>
      <c r="C6" s="206">
        <v>0</v>
      </c>
      <c r="D6" s="207"/>
      <c r="E6" s="209"/>
      <c r="F6" s="209"/>
      <c r="G6" s="209"/>
      <c r="H6" s="209"/>
      <c r="I6" s="209"/>
      <c r="J6" s="209"/>
      <c r="K6" s="209"/>
      <c r="L6" s="207"/>
      <c r="M6" s="207"/>
      <c r="N6" s="208"/>
      <c r="V6" s="92" t="s">
        <v>6</v>
      </c>
    </row>
    <row r="7" spans="1:22" ht="25.5" customHeight="1">
      <c r="A7" s="102">
        <v>4</v>
      </c>
      <c r="B7" s="3" t="s">
        <v>7</v>
      </c>
      <c r="C7" s="4">
        <v>0</v>
      </c>
      <c r="D7" s="5"/>
      <c r="E7" s="210" t="s">
        <v>175</v>
      </c>
      <c r="F7" s="211"/>
      <c r="G7" s="211"/>
      <c r="H7" s="211"/>
      <c r="I7" s="211"/>
      <c r="J7" s="211"/>
      <c r="K7" s="212"/>
      <c r="L7" s="5"/>
      <c r="M7" s="5"/>
      <c r="N7" s="6"/>
      <c r="V7" s="92" t="s">
        <v>8</v>
      </c>
    </row>
    <row r="8" spans="1:22" ht="12.75" customHeight="1">
      <c r="A8" s="102">
        <v>5</v>
      </c>
      <c r="B8" s="3" t="s">
        <v>9</v>
      </c>
      <c r="C8" s="4">
        <v>0</v>
      </c>
      <c r="D8" s="5"/>
      <c r="E8" s="213"/>
      <c r="F8" s="214"/>
      <c r="G8" s="214"/>
      <c r="H8" s="214"/>
      <c r="I8" s="214"/>
      <c r="J8" s="214"/>
      <c r="K8" s="215"/>
      <c r="L8" s="5"/>
      <c r="M8" s="5"/>
      <c r="N8" s="6"/>
      <c r="V8" s="92" t="s">
        <v>10</v>
      </c>
    </row>
    <row r="9" spans="1:22" ht="27" thickBot="1">
      <c r="A9" s="102">
        <v>6</v>
      </c>
      <c r="B9" s="7" t="s">
        <v>11</v>
      </c>
      <c r="C9" s="8">
        <v>0</v>
      </c>
      <c r="D9" s="9"/>
      <c r="E9" s="216"/>
      <c r="F9" s="217"/>
      <c r="G9" s="217"/>
      <c r="H9" s="217"/>
      <c r="I9" s="217"/>
      <c r="J9" s="217"/>
      <c r="K9" s="218"/>
      <c r="L9" s="10"/>
      <c r="M9" s="10"/>
      <c r="N9" s="11"/>
      <c r="V9" s="92" t="s">
        <v>12</v>
      </c>
    </row>
    <row r="10" spans="1:22" ht="26.4">
      <c r="A10" s="102">
        <v>7</v>
      </c>
      <c r="B10" s="7" t="s">
        <v>13</v>
      </c>
      <c r="C10" s="12">
        <v>0</v>
      </c>
      <c r="D10" s="13"/>
      <c r="E10" s="9"/>
      <c r="F10" s="14"/>
      <c r="G10" s="14"/>
      <c r="H10" s="9"/>
      <c r="I10" s="9"/>
      <c r="J10" s="9"/>
      <c r="K10" s="9"/>
      <c r="L10" s="10"/>
      <c r="M10" s="10"/>
      <c r="N10" s="11"/>
    </row>
    <row r="11" spans="1:22">
      <c r="A11" s="102">
        <v>8</v>
      </c>
      <c r="B11" s="3" t="s">
        <v>14</v>
      </c>
      <c r="C11" s="15">
        <v>0</v>
      </c>
      <c r="D11" s="16">
        <v>0</v>
      </c>
      <c r="E11" s="9"/>
      <c r="F11" s="14"/>
      <c r="G11" s="14"/>
      <c r="H11" s="9"/>
      <c r="I11" s="9"/>
      <c r="J11" s="9"/>
      <c r="K11" s="9"/>
      <c r="L11" s="10"/>
      <c r="M11" s="10"/>
      <c r="N11" s="11"/>
    </row>
    <row r="12" spans="1:22">
      <c r="A12" s="102">
        <v>9</v>
      </c>
      <c r="B12" s="7" t="s">
        <v>15</v>
      </c>
      <c r="C12" s="219">
        <v>0</v>
      </c>
      <c r="D12" s="219"/>
      <c r="E12" s="219"/>
      <c r="F12" s="219"/>
      <c r="G12" s="219"/>
      <c r="H12" s="219"/>
      <c r="I12" s="219"/>
      <c r="J12" s="219"/>
      <c r="K12" s="219"/>
      <c r="L12" s="220"/>
      <c r="M12" s="220"/>
      <c r="N12" s="221"/>
    </row>
    <row r="13" spans="1:22" ht="37.5" customHeight="1">
      <c r="A13" s="102">
        <v>10</v>
      </c>
      <c r="B13" s="125" t="s">
        <v>129</v>
      </c>
      <c r="C13" s="117">
        <v>0</v>
      </c>
      <c r="D13" s="115"/>
      <c r="E13" s="112"/>
      <c r="F13" s="112"/>
      <c r="G13" s="112"/>
      <c r="H13" s="112"/>
      <c r="I13" s="112"/>
      <c r="J13" s="112"/>
      <c r="K13" s="112"/>
      <c r="L13" s="113"/>
      <c r="M13" s="113"/>
      <c r="N13" s="114"/>
    </row>
    <row r="14" spans="1:22" ht="37.5" customHeight="1">
      <c r="A14" s="102">
        <v>11</v>
      </c>
      <c r="B14" s="116" t="s">
        <v>130</v>
      </c>
      <c r="C14" s="117">
        <v>0</v>
      </c>
      <c r="D14" s="122"/>
      <c r="E14" s="112" t="s">
        <v>176</v>
      </c>
      <c r="F14" s="112"/>
      <c r="G14" s="112"/>
      <c r="H14" s="112"/>
      <c r="I14" s="112"/>
      <c r="J14" s="112"/>
      <c r="K14" s="112"/>
      <c r="L14" s="113"/>
      <c r="M14" s="113"/>
      <c r="N14" s="114"/>
    </row>
    <row r="15" spans="1:22" ht="37.5" customHeight="1">
      <c r="A15" s="102">
        <v>12</v>
      </c>
      <c r="B15" s="116" t="s">
        <v>131</v>
      </c>
      <c r="C15" s="126">
        <v>0</v>
      </c>
      <c r="D15" s="115"/>
      <c r="E15" s="112"/>
      <c r="F15" s="112"/>
      <c r="G15" s="112"/>
      <c r="H15" s="112"/>
      <c r="I15" s="112"/>
      <c r="J15" s="112"/>
      <c r="K15" s="112"/>
      <c r="L15" s="113"/>
      <c r="M15" s="113"/>
      <c r="N15" s="114"/>
    </row>
    <row r="16" spans="1:22" ht="18.75" customHeight="1" thickBot="1">
      <c r="A16" s="137">
        <v>13</v>
      </c>
      <c r="B16" s="17" t="s">
        <v>16</v>
      </c>
      <c r="C16" s="130">
        <v>0</v>
      </c>
      <c r="D16" s="127"/>
      <c r="E16" s="127"/>
      <c r="F16" s="127"/>
      <c r="G16" s="127"/>
      <c r="H16" s="127"/>
      <c r="I16" s="127"/>
      <c r="J16" s="127"/>
      <c r="K16" s="127"/>
      <c r="L16" s="128"/>
      <c r="M16" s="128"/>
      <c r="N16" s="129"/>
    </row>
    <row r="17" spans="1:253" ht="15.6" thickTop="1">
      <c r="A17" s="175" t="s">
        <v>127</v>
      </c>
      <c r="B17" s="176"/>
      <c r="C17" s="176"/>
      <c r="D17" s="176"/>
      <c r="E17" s="176"/>
      <c r="F17" s="176"/>
      <c r="G17" s="176"/>
      <c r="H17" s="176"/>
      <c r="I17" s="176"/>
      <c r="J17" s="176"/>
      <c r="K17" s="176"/>
      <c r="L17" s="176"/>
      <c r="M17" s="176"/>
      <c r="N17" s="177"/>
      <c r="W17" s="91"/>
    </row>
    <row r="18" spans="1:253" ht="25.5" customHeight="1">
      <c r="A18" s="103">
        <v>1</v>
      </c>
      <c r="B18" s="178" t="s">
        <v>17</v>
      </c>
      <c r="C18" s="179"/>
      <c r="D18" s="179"/>
      <c r="E18" s="179"/>
      <c r="F18" s="179"/>
      <c r="G18" s="179"/>
      <c r="H18" s="180"/>
      <c r="I18" s="22"/>
      <c r="J18" s="22"/>
      <c r="K18" s="10"/>
      <c r="L18" s="10"/>
      <c r="M18" s="10"/>
      <c r="N18" s="11"/>
      <c r="O18" s="20"/>
      <c r="P18" s="20"/>
      <c r="Q18" s="20"/>
      <c r="R18" s="23"/>
      <c r="S18" s="20"/>
      <c r="T18" s="20"/>
      <c r="U18" s="20"/>
      <c r="V18" s="93"/>
      <c r="W18" s="20"/>
      <c r="X18" s="20"/>
      <c r="Y18" s="20"/>
      <c r="Z18" s="20"/>
    </row>
    <row r="19" spans="1:253" ht="12.75" customHeight="1">
      <c r="A19" s="223" t="s">
        <v>27</v>
      </c>
      <c r="B19" s="182" t="s">
        <v>18</v>
      </c>
      <c r="C19" s="181" t="s">
        <v>19</v>
      </c>
      <c r="D19" s="182"/>
      <c r="E19" s="185" t="s">
        <v>20</v>
      </c>
      <c r="F19" s="186"/>
      <c r="G19" s="187"/>
      <c r="H19" s="188" t="s">
        <v>21</v>
      </c>
      <c r="I19" s="226"/>
      <c r="J19" s="227"/>
      <c r="K19" s="10"/>
      <c r="L19" s="10"/>
      <c r="M19" s="10"/>
      <c r="N19" s="11"/>
      <c r="O19" s="20"/>
      <c r="P19" s="23"/>
      <c r="Q19" s="23"/>
      <c r="R19" s="23"/>
      <c r="S19" s="20"/>
      <c r="T19" s="20"/>
      <c r="U19" s="20"/>
      <c r="V19" s="93"/>
      <c r="W19" s="20"/>
      <c r="X19" s="20"/>
      <c r="Y19" s="20"/>
      <c r="Z19" s="20"/>
      <c r="HQ19" s="2"/>
      <c r="HR19" s="2"/>
    </row>
    <row r="20" spans="1:253" ht="39.6">
      <c r="A20" s="224"/>
      <c r="B20" s="222"/>
      <c r="C20" s="183"/>
      <c r="D20" s="184"/>
      <c r="E20" s="21" t="s">
        <v>22</v>
      </c>
      <c r="F20" s="24" t="s">
        <v>23</v>
      </c>
      <c r="G20" s="24" t="s">
        <v>24</v>
      </c>
      <c r="H20" s="189"/>
      <c r="I20" s="226"/>
      <c r="J20" s="227"/>
      <c r="K20" s="10"/>
      <c r="L20" s="10"/>
      <c r="M20" s="10"/>
      <c r="N20" s="11"/>
      <c r="O20" s="23"/>
      <c r="P20" s="23"/>
      <c r="Q20" s="20"/>
      <c r="R20" s="20"/>
      <c r="S20" s="20"/>
      <c r="T20" s="20"/>
      <c r="U20" s="20"/>
      <c r="V20" s="93"/>
      <c r="W20" s="20"/>
      <c r="X20" s="20"/>
      <c r="HQ20" s="2"/>
      <c r="HR20" s="2"/>
    </row>
    <row r="21" spans="1:253" ht="39" customHeight="1">
      <c r="A21" s="224"/>
      <c r="B21" s="184"/>
      <c r="C21" s="25" t="s">
        <v>25</v>
      </c>
      <c r="D21" s="25" t="s">
        <v>26</v>
      </c>
      <c r="E21" s="25" t="s">
        <v>25</v>
      </c>
      <c r="F21" s="25" t="s">
        <v>25</v>
      </c>
      <c r="G21" s="25" t="s">
        <v>25</v>
      </c>
      <c r="H21" s="190"/>
      <c r="I21" s="226"/>
      <c r="J21" s="227"/>
      <c r="K21" s="10"/>
      <c r="L21" s="10"/>
      <c r="M21" s="10"/>
      <c r="N21" s="11"/>
      <c r="O21" s="23"/>
      <c r="P21" s="23"/>
      <c r="Q21" s="20"/>
      <c r="R21" s="20"/>
      <c r="S21" s="20"/>
      <c r="T21" s="20"/>
      <c r="U21" s="20"/>
      <c r="V21" s="93"/>
      <c r="W21" s="20"/>
      <c r="X21" s="20"/>
      <c r="HQ21" s="2"/>
      <c r="HR21" s="2"/>
    </row>
    <row r="22" spans="1:253" ht="12.75" customHeight="1">
      <c r="A22" s="224"/>
      <c r="B22" s="119" t="s">
        <v>125</v>
      </c>
      <c r="C22" s="26">
        <v>0</v>
      </c>
      <c r="D22" s="27">
        <v>0</v>
      </c>
      <c r="E22" s="18">
        <v>0</v>
      </c>
      <c r="F22" s="18">
        <v>0</v>
      </c>
      <c r="G22" s="18">
        <v>0</v>
      </c>
      <c r="H22" s="18">
        <v>0</v>
      </c>
      <c r="I22" s="28"/>
      <c r="J22" s="29"/>
      <c r="K22" s="10"/>
      <c r="L22" s="10"/>
      <c r="M22" s="10"/>
      <c r="N22" s="11"/>
      <c r="O22" s="23"/>
      <c r="P22" s="23"/>
      <c r="Q22" s="20"/>
      <c r="R22" s="20"/>
      <c r="S22" s="20"/>
      <c r="T22" s="20"/>
      <c r="U22" s="20"/>
      <c r="V22" s="93"/>
      <c r="W22" s="20"/>
      <c r="X22" s="20"/>
      <c r="HQ22" s="2"/>
      <c r="HR22" s="2"/>
    </row>
    <row r="23" spans="1:253" ht="12.75" customHeight="1">
      <c r="A23" s="224"/>
      <c r="B23" s="119" t="s">
        <v>126</v>
      </c>
      <c r="C23" s="26">
        <v>0</v>
      </c>
      <c r="D23" s="27">
        <v>0</v>
      </c>
      <c r="E23" s="18">
        <v>0</v>
      </c>
      <c r="F23" s="18">
        <v>0</v>
      </c>
      <c r="G23" s="18">
        <v>0</v>
      </c>
      <c r="H23" s="18">
        <v>0</v>
      </c>
      <c r="I23" s="28"/>
      <c r="J23" s="29"/>
      <c r="K23" s="10"/>
      <c r="L23" s="10"/>
      <c r="M23" s="10"/>
      <c r="N23" s="11"/>
      <c r="O23" s="23"/>
      <c r="P23" s="23"/>
      <c r="Q23" s="20"/>
      <c r="R23" s="20"/>
      <c r="S23" s="20"/>
      <c r="T23" s="20"/>
      <c r="U23" s="20"/>
      <c r="V23" s="93"/>
      <c r="W23" s="20"/>
      <c r="X23" s="20"/>
      <c r="HQ23" s="2"/>
      <c r="HR23" s="2"/>
    </row>
    <row r="24" spans="1:253" ht="12.75" customHeight="1">
      <c r="A24" s="224"/>
      <c r="B24" s="90" t="s">
        <v>28</v>
      </c>
      <c r="C24" s="26">
        <v>0</v>
      </c>
      <c r="D24" s="26">
        <v>0</v>
      </c>
      <c r="E24" s="26">
        <v>0</v>
      </c>
      <c r="F24" s="26">
        <v>0</v>
      </c>
      <c r="G24" s="26">
        <v>0</v>
      </c>
      <c r="H24" s="18">
        <v>0</v>
      </c>
      <c r="I24" s="28"/>
      <c r="J24" s="29"/>
      <c r="K24" s="10"/>
      <c r="L24" s="10"/>
      <c r="M24" s="10"/>
      <c r="N24" s="11"/>
      <c r="O24" s="23"/>
      <c r="P24" s="23"/>
      <c r="Q24" s="20"/>
      <c r="R24" s="20"/>
      <c r="S24" s="20"/>
      <c r="T24" s="20"/>
      <c r="U24" s="20"/>
      <c r="V24" s="93"/>
      <c r="W24" s="20"/>
      <c r="X24" s="20"/>
      <c r="HQ24" s="2"/>
      <c r="HR24" s="2"/>
    </row>
    <row r="25" spans="1:253" ht="13.2">
      <c r="A25" s="224"/>
      <c r="B25" s="90" t="s">
        <v>29</v>
      </c>
      <c r="C25" s="26">
        <v>0</v>
      </c>
      <c r="D25" s="27">
        <v>0</v>
      </c>
      <c r="E25" s="18">
        <v>0</v>
      </c>
      <c r="F25" s="18">
        <v>0</v>
      </c>
      <c r="G25" s="18">
        <v>0</v>
      </c>
      <c r="H25" s="18">
        <v>0</v>
      </c>
      <c r="I25" s="28"/>
      <c r="J25" s="29"/>
      <c r="K25" s="10"/>
      <c r="L25" s="10"/>
      <c r="M25" s="10"/>
      <c r="N25" s="11"/>
      <c r="O25" s="23"/>
      <c r="P25" s="23"/>
      <c r="Q25" s="20"/>
      <c r="R25" s="20"/>
      <c r="S25" s="20"/>
      <c r="T25" s="20"/>
      <c r="U25" s="20"/>
      <c r="V25" s="93"/>
      <c r="W25" s="20"/>
      <c r="X25" s="20"/>
      <c r="HQ25" s="2"/>
      <c r="HR25" s="2"/>
    </row>
    <row r="26" spans="1:253" s="1" customFormat="1" ht="13.2">
      <c r="A26" s="224"/>
      <c r="B26" s="90" t="s">
        <v>30</v>
      </c>
      <c r="C26" s="26">
        <v>0</v>
      </c>
      <c r="D26" s="27">
        <v>0</v>
      </c>
      <c r="E26" s="18">
        <v>0</v>
      </c>
      <c r="F26" s="18">
        <v>0</v>
      </c>
      <c r="G26" s="18">
        <v>0</v>
      </c>
      <c r="H26" s="18">
        <v>0</v>
      </c>
      <c r="I26" s="28"/>
      <c r="J26" s="29"/>
      <c r="K26" s="10"/>
      <c r="L26" s="10"/>
      <c r="M26" s="10"/>
      <c r="N26" s="11"/>
      <c r="O26" s="20"/>
      <c r="P26" s="20"/>
      <c r="Q26" s="20"/>
      <c r="R26" s="20"/>
      <c r="S26" s="20"/>
      <c r="T26" s="20"/>
      <c r="U26" s="20"/>
      <c r="V26" s="93"/>
      <c r="W26" s="20"/>
      <c r="X26" s="20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</row>
    <row r="27" spans="1:253" s="1" customFormat="1" ht="13.2">
      <c r="A27" s="224"/>
      <c r="B27" s="90" t="s">
        <v>31</v>
      </c>
      <c r="C27" s="26">
        <v>0</v>
      </c>
      <c r="D27" s="27">
        <v>0</v>
      </c>
      <c r="E27" s="18">
        <v>0</v>
      </c>
      <c r="F27" s="18">
        <v>0</v>
      </c>
      <c r="G27" s="18">
        <v>0</v>
      </c>
      <c r="H27" s="18">
        <v>0</v>
      </c>
      <c r="I27" s="28"/>
      <c r="J27" s="29"/>
      <c r="K27" s="10"/>
      <c r="L27" s="10"/>
      <c r="M27" s="10"/>
      <c r="N27" s="11"/>
      <c r="O27" s="20"/>
      <c r="P27" s="20"/>
      <c r="Q27" s="20"/>
      <c r="R27" s="20"/>
      <c r="S27" s="20"/>
      <c r="T27" s="20"/>
      <c r="U27" s="20"/>
      <c r="V27" s="93"/>
      <c r="W27" s="20"/>
      <c r="X27" s="20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</row>
    <row r="28" spans="1:253" s="1" customFormat="1" ht="13.2">
      <c r="A28" s="224"/>
      <c r="B28" s="90" t="s">
        <v>32</v>
      </c>
      <c r="C28" s="26">
        <v>0</v>
      </c>
      <c r="D28" s="27">
        <v>0</v>
      </c>
      <c r="E28" s="18">
        <v>0</v>
      </c>
      <c r="F28" s="18">
        <v>0</v>
      </c>
      <c r="G28" s="18">
        <v>0</v>
      </c>
      <c r="H28" s="18">
        <v>0</v>
      </c>
      <c r="I28" s="28"/>
      <c r="J28" s="29"/>
      <c r="K28" s="10"/>
      <c r="L28" s="10"/>
      <c r="M28" s="10"/>
      <c r="N28" s="11"/>
      <c r="O28" s="20"/>
      <c r="P28" s="20"/>
      <c r="Q28" s="20"/>
      <c r="R28" s="20"/>
      <c r="S28" s="20"/>
      <c r="T28" s="20"/>
      <c r="U28" s="20"/>
      <c r="V28" s="93"/>
      <c r="W28" s="20"/>
      <c r="X28" s="20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</row>
    <row r="29" spans="1:253" s="1" customFormat="1" ht="13.2">
      <c r="A29" s="225"/>
      <c r="B29" s="90" t="s">
        <v>33</v>
      </c>
      <c r="C29" s="31">
        <f>SUM(C22:C28)</f>
        <v>0</v>
      </c>
      <c r="D29" s="32">
        <f>SUM(D22:D28)</f>
        <v>0</v>
      </c>
      <c r="E29" s="33" t="e">
        <f>SUMPRODUCT(E22:E28,$C22:$C28)/$C29</f>
        <v>#DIV/0!</v>
      </c>
      <c r="F29" s="33" t="e">
        <f>SUMPRODUCT(F22:F28,$C22:$C28)/$C29</f>
        <v>#DIV/0!</v>
      </c>
      <c r="G29" s="33" t="e">
        <f>SUMPRODUCT(G22:G28,$C22:$C28)/$C29</f>
        <v>#DIV/0!</v>
      </c>
      <c r="H29" s="34"/>
      <c r="I29" s="35"/>
      <c r="J29" s="36"/>
      <c r="K29" s="10"/>
      <c r="L29" s="10"/>
      <c r="M29" s="10"/>
      <c r="N29" s="11"/>
      <c r="O29" s="20"/>
      <c r="P29" s="20"/>
      <c r="Q29" s="20"/>
      <c r="R29" s="20"/>
      <c r="S29" s="20"/>
      <c r="T29" s="20"/>
      <c r="U29" s="20"/>
      <c r="V29" s="93"/>
      <c r="W29" s="20"/>
      <c r="X29" s="20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</row>
    <row r="30" spans="1:253" ht="38.25" customHeight="1">
      <c r="A30" s="228">
        <v>2</v>
      </c>
      <c r="B30" s="96" t="s">
        <v>34</v>
      </c>
      <c r="C30" s="121" t="s">
        <v>35</v>
      </c>
      <c r="D30" s="25" t="s">
        <v>36</v>
      </c>
      <c r="E30" s="25" t="s">
        <v>37</v>
      </c>
      <c r="F30" s="185" t="s">
        <v>38</v>
      </c>
      <c r="G30" s="186"/>
      <c r="H30" s="186"/>
      <c r="I30" s="186"/>
      <c r="J30" s="186"/>
      <c r="K30" s="186"/>
      <c r="L30" s="186"/>
      <c r="M30" s="186"/>
      <c r="N30" s="230"/>
      <c r="P30" s="2"/>
      <c r="R30" s="1"/>
      <c r="HQ30" s="2"/>
    </row>
    <row r="31" spans="1:253" ht="13.2">
      <c r="A31" s="229"/>
      <c r="B31" s="97" t="s">
        <v>39</v>
      </c>
      <c r="C31" s="38">
        <v>0</v>
      </c>
      <c r="D31" s="39">
        <v>0</v>
      </c>
      <c r="E31" s="39">
        <v>0</v>
      </c>
      <c r="F31" s="231">
        <v>0</v>
      </c>
      <c r="G31" s="231"/>
      <c r="H31" s="231"/>
      <c r="I31" s="231"/>
      <c r="J31" s="231"/>
      <c r="K31" s="231"/>
      <c r="L31" s="231"/>
      <c r="M31" s="231"/>
      <c r="N31" s="232"/>
      <c r="P31" s="2"/>
      <c r="R31" s="1"/>
      <c r="HQ31" s="2"/>
    </row>
    <row r="32" spans="1:253" ht="13.2">
      <c r="A32" s="255">
        <v>3</v>
      </c>
      <c r="B32" s="44" t="s">
        <v>40</v>
      </c>
      <c r="C32" s="25" t="s">
        <v>41</v>
      </c>
      <c r="D32" s="30" t="s">
        <v>42</v>
      </c>
      <c r="E32" s="30" t="s">
        <v>43</v>
      </c>
      <c r="F32" s="30" t="s">
        <v>44</v>
      </c>
      <c r="G32" s="30" t="s">
        <v>45</v>
      </c>
      <c r="H32" s="30" t="s">
        <v>46</v>
      </c>
      <c r="I32" s="30" t="s">
        <v>47</v>
      </c>
      <c r="J32" s="30" t="s">
        <v>48</v>
      </c>
      <c r="K32" s="30" t="s">
        <v>49</v>
      </c>
      <c r="L32" s="30" t="s">
        <v>50</v>
      </c>
      <c r="M32" s="30" t="s">
        <v>51</v>
      </c>
      <c r="N32" s="41" t="s">
        <v>52</v>
      </c>
      <c r="R32" s="1"/>
    </row>
    <row r="33" spans="1:226" ht="13.2">
      <c r="A33" s="229"/>
      <c r="B33" s="95" t="s">
        <v>53</v>
      </c>
      <c r="C33" s="43">
        <v>1</v>
      </c>
      <c r="D33" s="43">
        <v>1</v>
      </c>
      <c r="E33" s="43">
        <v>1</v>
      </c>
      <c r="F33" s="43">
        <v>1</v>
      </c>
      <c r="G33" s="43">
        <v>1</v>
      </c>
      <c r="H33" s="43">
        <v>1</v>
      </c>
      <c r="I33" s="43">
        <v>1</v>
      </c>
      <c r="J33" s="43">
        <v>1</v>
      </c>
      <c r="K33" s="43">
        <v>1</v>
      </c>
      <c r="L33" s="43">
        <v>1</v>
      </c>
      <c r="M33" s="43">
        <v>1</v>
      </c>
      <c r="N33" s="56">
        <v>1</v>
      </c>
      <c r="R33" s="1"/>
    </row>
    <row r="34" spans="1:226" ht="13.2">
      <c r="A34" s="228">
        <v>4</v>
      </c>
      <c r="B34" s="44" t="s">
        <v>54</v>
      </c>
      <c r="C34" s="30" t="s">
        <v>55</v>
      </c>
      <c r="D34" s="30" t="s">
        <v>56</v>
      </c>
      <c r="E34" s="30" t="s">
        <v>57</v>
      </c>
      <c r="F34" s="30" t="s">
        <v>58</v>
      </c>
      <c r="G34" s="30" t="s">
        <v>59</v>
      </c>
      <c r="H34" s="10"/>
      <c r="I34" s="10"/>
      <c r="J34" s="10"/>
      <c r="K34" s="10"/>
      <c r="L34" s="10"/>
      <c r="M34" s="10"/>
      <c r="N34" s="11"/>
      <c r="R34" s="1"/>
      <c r="HQ34" s="2"/>
    </row>
    <row r="35" spans="1:226" ht="13.2">
      <c r="A35" s="229"/>
      <c r="B35" s="47" t="s">
        <v>53</v>
      </c>
      <c r="C35" s="42">
        <v>0</v>
      </c>
      <c r="D35" s="43">
        <v>0</v>
      </c>
      <c r="E35" s="43">
        <v>0</v>
      </c>
      <c r="F35" s="43">
        <v>0</v>
      </c>
      <c r="G35" s="43">
        <v>0</v>
      </c>
      <c r="H35" s="10"/>
      <c r="I35" s="10"/>
      <c r="J35" s="10"/>
      <c r="K35" s="10"/>
      <c r="L35" s="10"/>
      <c r="M35" s="10"/>
      <c r="N35" s="11"/>
      <c r="R35" s="1"/>
      <c r="HQ35" s="2"/>
    </row>
    <row r="36" spans="1:226" ht="13.2">
      <c r="A36" s="228">
        <v>5</v>
      </c>
      <c r="B36" s="256" t="s">
        <v>60</v>
      </c>
      <c r="C36" s="25" t="s">
        <v>25</v>
      </c>
      <c r="D36" s="21" t="s">
        <v>61</v>
      </c>
      <c r="E36" s="10"/>
      <c r="F36" s="10"/>
      <c r="G36" s="10"/>
      <c r="H36" s="10"/>
      <c r="I36" s="10"/>
      <c r="J36" s="10"/>
      <c r="K36" s="10"/>
      <c r="L36" s="10"/>
      <c r="M36" s="10"/>
      <c r="N36" s="11"/>
    </row>
    <row r="37" spans="1:226" ht="13.2">
      <c r="A37" s="229"/>
      <c r="B37" s="257"/>
      <c r="C37" s="26">
        <v>0</v>
      </c>
      <c r="D37" s="26">
        <v>0</v>
      </c>
      <c r="E37" s="10"/>
      <c r="F37" s="10"/>
      <c r="G37" s="10"/>
      <c r="H37" s="10"/>
      <c r="I37" s="10"/>
      <c r="J37" s="10"/>
      <c r="K37" s="10"/>
      <c r="L37" s="10"/>
      <c r="M37" s="10"/>
      <c r="N37" s="11"/>
    </row>
    <row r="38" spans="1:226" ht="13.2">
      <c r="A38" s="228">
        <v>6</v>
      </c>
      <c r="B38" s="256" t="s">
        <v>133</v>
      </c>
      <c r="C38" s="25" t="s">
        <v>25</v>
      </c>
      <c r="D38" s="21" t="s">
        <v>61</v>
      </c>
      <c r="E38" s="10"/>
      <c r="F38" s="10"/>
      <c r="G38" s="10"/>
      <c r="H38" s="10"/>
      <c r="I38" s="10"/>
      <c r="J38" s="10"/>
      <c r="K38" s="10"/>
      <c r="L38" s="10"/>
      <c r="M38" s="10"/>
      <c r="N38" s="11"/>
    </row>
    <row r="39" spans="1:226" ht="13.2">
      <c r="A39" s="229"/>
      <c r="B39" s="257"/>
      <c r="C39" s="26">
        <v>0</v>
      </c>
      <c r="D39" s="26">
        <v>0</v>
      </c>
      <c r="E39" s="10"/>
      <c r="F39" s="10"/>
      <c r="G39" s="10"/>
      <c r="H39" s="10"/>
      <c r="I39" s="10"/>
      <c r="J39" s="10"/>
      <c r="K39" s="10"/>
      <c r="L39" s="10"/>
      <c r="M39" s="10"/>
      <c r="N39" s="11"/>
    </row>
    <row r="40" spans="1:226" ht="13.2">
      <c r="A40" s="228">
        <v>7</v>
      </c>
      <c r="B40" s="256" t="s">
        <v>62</v>
      </c>
      <c r="C40" s="25" t="s">
        <v>25</v>
      </c>
      <c r="D40" s="21" t="s">
        <v>61</v>
      </c>
      <c r="E40" s="10"/>
      <c r="F40" s="10"/>
      <c r="G40" s="10"/>
      <c r="H40" s="10"/>
      <c r="I40" s="10"/>
      <c r="J40" s="10"/>
      <c r="K40" s="10"/>
      <c r="L40" s="10"/>
      <c r="M40" s="10"/>
      <c r="N40" s="11"/>
    </row>
    <row r="41" spans="1:226" ht="13.2">
      <c r="A41" s="229"/>
      <c r="B41" s="257"/>
      <c r="C41" s="26">
        <v>0</v>
      </c>
      <c r="D41" s="26">
        <v>0</v>
      </c>
      <c r="E41" s="10"/>
      <c r="F41" s="10"/>
      <c r="G41" s="10"/>
      <c r="H41" s="10"/>
      <c r="I41" s="10"/>
      <c r="J41" s="10"/>
      <c r="K41" s="10"/>
      <c r="L41" s="10"/>
      <c r="M41" s="10"/>
      <c r="N41" s="11"/>
    </row>
    <row r="42" spans="1:226" ht="13.2">
      <c r="A42" s="228">
        <v>8</v>
      </c>
      <c r="B42" s="40" t="s">
        <v>63</v>
      </c>
      <c r="C42" s="25" t="s">
        <v>25</v>
      </c>
      <c r="D42" s="21" t="s">
        <v>61</v>
      </c>
      <c r="E42" s="10"/>
      <c r="F42" s="10"/>
      <c r="G42" s="10"/>
      <c r="H42" s="10"/>
      <c r="I42" s="10"/>
      <c r="J42" s="10"/>
      <c r="K42" s="10"/>
      <c r="L42" s="10"/>
      <c r="M42" s="10"/>
      <c r="N42" s="11"/>
    </row>
    <row r="43" spans="1:226" ht="13.2">
      <c r="A43" s="255"/>
      <c r="B43" s="45" t="s">
        <v>64</v>
      </c>
      <c r="C43" s="26">
        <v>0</v>
      </c>
      <c r="D43" s="26">
        <v>0</v>
      </c>
      <c r="E43" s="10"/>
      <c r="F43" s="10"/>
      <c r="G43" s="10"/>
      <c r="H43" s="10"/>
      <c r="I43" s="10"/>
      <c r="J43" s="10"/>
      <c r="K43" s="10"/>
      <c r="L43" s="10"/>
      <c r="M43" s="10"/>
      <c r="N43" s="11"/>
    </row>
    <row r="44" spans="1:226" ht="13.2">
      <c r="A44" s="229"/>
      <c r="B44" s="46" t="s">
        <v>65</v>
      </c>
      <c r="C44" s="26">
        <v>0</v>
      </c>
      <c r="D44" s="26">
        <v>0</v>
      </c>
      <c r="E44" s="10"/>
      <c r="F44" s="10"/>
      <c r="G44" s="10"/>
      <c r="H44" s="10"/>
      <c r="I44" s="10"/>
      <c r="J44" s="10"/>
      <c r="K44" s="10"/>
      <c r="L44" s="10"/>
      <c r="M44" s="10"/>
      <c r="N44" s="11"/>
    </row>
    <row r="45" spans="1:226" ht="13.2">
      <c r="A45" s="228">
        <v>9</v>
      </c>
      <c r="B45" s="256" t="s">
        <v>66</v>
      </c>
      <c r="C45" s="25" t="s">
        <v>25</v>
      </c>
      <c r="D45" s="25" t="s">
        <v>61</v>
      </c>
      <c r="E45" s="10"/>
      <c r="F45" s="10"/>
      <c r="G45" s="10"/>
      <c r="H45" s="10"/>
      <c r="I45" s="10"/>
      <c r="J45" s="10"/>
      <c r="K45" s="10"/>
      <c r="L45" s="10"/>
      <c r="M45" s="10"/>
      <c r="N45" s="11"/>
    </row>
    <row r="46" spans="1:226" ht="13.2">
      <c r="A46" s="229"/>
      <c r="B46" s="257"/>
      <c r="C46" s="26">
        <v>0</v>
      </c>
      <c r="D46" s="26">
        <v>0</v>
      </c>
      <c r="E46" s="10"/>
      <c r="F46" s="10"/>
      <c r="G46" s="10"/>
      <c r="H46" s="10"/>
      <c r="I46" s="10"/>
      <c r="J46" s="10"/>
      <c r="K46" s="10"/>
      <c r="L46" s="10"/>
      <c r="M46" s="10"/>
      <c r="N46" s="11"/>
    </row>
    <row r="47" spans="1:226" ht="26.4">
      <c r="A47" s="124">
        <v>10</v>
      </c>
      <c r="B47" s="40" t="s">
        <v>132</v>
      </c>
      <c r="C47" s="26">
        <v>0</v>
      </c>
      <c r="D47" s="48"/>
      <c r="E47" s="10"/>
      <c r="F47" s="10"/>
      <c r="G47" s="10"/>
      <c r="H47" s="10"/>
      <c r="I47" s="10"/>
      <c r="J47" s="10"/>
      <c r="K47" s="10"/>
      <c r="L47" s="10"/>
      <c r="M47" s="10"/>
      <c r="N47" s="11"/>
    </row>
    <row r="48" spans="1:226" s="53" customFormat="1" ht="21" customHeight="1">
      <c r="A48" s="124">
        <v>11</v>
      </c>
      <c r="B48" s="40" t="s">
        <v>67</v>
      </c>
      <c r="C48" s="49">
        <v>0</v>
      </c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1"/>
      <c r="O48" s="52"/>
      <c r="P48" s="1"/>
      <c r="Q48" s="1"/>
      <c r="R48" s="2"/>
      <c r="S48" s="1"/>
      <c r="T48" s="1"/>
      <c r="U48" s="1"/>
      <c r="V48" s="91"/>
      <c r="W48" s="1"/>
      <c r="X48" s="1"/>
      <c r="Y48" s="1"/>
      <c r="Z48" s="1"/>
      <c r="AA48" s="1"/>
      <c r="AB48" s="1"/>
      <c r="AC48" s="1"/>
      <c r="AD48" s="1"/>
      <c r="AE48" s="1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  <c r="CE48" s="52"/>
      <c r="CF48" s="52"/>
      <c r="CG48" s="52"/>
      <c r="CH48" s="52"/>
      <c r="CI48" s="52"/>
      <c r="CJ48" s="52"/>
      <c r="CK48" s="52"/>
      <c r="CL48" s="52"/>
      <c r="CM48" s="52"/>
      <c r="CN48" s="52"/>
      <c r="CO48" s="52"/>
      <c r="CP48" s="52"/>
      <c r="CQ48" s="52"/>
      <c r="CR48" s="52"/>
      <c r="CS48" s="52"/>
      <c r="CT48" s="52"/>
      <c r="CU48" s="52"/>
      <c r="CV48" s="52"/>
      <c r="CW48" s="52"/>
      <c r="CX48" s="52"/>
      <c r="CY48" s="52"/>
      <c r="CZ48" s="52"/>
      <c r="DA48" s="52"/>
      <c r="DB48" s="52"/>
      <c r="DC48" s="52"/>
      <c r="DD48" s="52"/>
      <c r="DE48" s="52"/>
      <c r="DF48" s="52"/>
      <c r="DG48" s="52"/>
      <c r="DH48" s="52"/>
      <c r="DI48" s="52"/>
      <c r="DJ48" s="52"/>
      <c r="DK48" s="52"/>
      <c r="DL48" s="52"/>
      <c r="DM48" s="52"/>
      <c r="DN48" s="52"/>
      <c r="DO48" s="52"/>
      <c r="DP48" s="52"/>
      <c r="DQ48" s="52"/>
      <c r="DR48" s="52"/>
      <c r="DS48" s="52"/>
      <c r="DT48" s="52"/>
      <c r="DU48" s="52"/>
      <c r="DV48" s="52"/>
      <c r="DW48" s="52"/>
      <c r="DX48" s="52"/>
      <c r="DY48" s="52"/>
      <c r="DZ48" s="52"/>
      <c r="EA48" s="52"/>
      <c r="EB48" s="52"/>
      <c r="EC48" s="52"/>
      <c r="ED48" s="52"/>
      <c r="EE48" s="52"/>
      <c r="EF48" s="52"/>
      <c r="EG48" s="52"/>
      <c r="EH48" s="52"/>
      <c r="EI48" s="52"/>
      <c r="EJ48" s="52"/>
      <c r="EK48" s="52"/>
      <c r="EL48" s="52"/>
      <c r="EM48" s="52"/>
      <c r="EN48" s="52"/>
      <c r="EO48" s="52"/>
      <c r="EP48" s="52"/>
      <c r="EQ48" s="52"/>
      <c r="ER48" s="52"/>
      <c r="ES48" s="52"/>
      <c r="ET48" s="52"/>
      <c r="EU48" s="52"/>
      <c r="EV48" s="52"/>
      <c r="EW48" s="52"/>
      <c r="EX48" s="52"/>
      <c r="EY48" s="52"/>
      <c r="EZ48" s="52"/>
      <c r="FA48" s="52"/>
      <c r="FB48" s="52"/>
      <c r="FC48" s="52"/>
      <c r="FD48" s="52"/>
      <c r="FE48" s="52"/>
      <c r="FF48" s="52"/>
      <c r="FG48" s="52"/>
      <c r="FH48" s="52"/>
      <c r="FI48" s="52"/>
      <c r="FJ48" s="52"/>
      <c r="FK48" s="52"/>
      <c r="FL48" s="52"/>
      <c r="FM48" s="52"/>
      <c r="FN48" s="52"/>
      <c r="FO48" s="52"/>
      <c r="FP48" s="52"/>
      <c r="FQ48" s="52"/>
      <c r="FR48" s="52"/>
      <c r="FS48" s="52"/>
      <c r="FT48" s="52"/>
      <c r="FU48" s="52"/>
      <c r="FV48" s="52"/>
      <c r="FW48" s="52"/>
      <c r="FX48" s="52"/>
      <c r="FY48" s="52"/>
      <c r="FZ48" s="52"/>
      <c r="GA48" s="52"/>
      <c r="GB48" s="52"/>
      <c r="GC48" s="52"/>
      <c r="GD48" s="52"/>
      <c r="GE48" s="52"/>
      <c r="GF48" s="52"/>
      <c r="GG48" s="52"/>
      <c r="GH48" s="52"/>
      <c r="GI48" s="52"/>
      <c r="GJ48" s="52"/>
      <c r="GK48" s="52"/>
      <c r="GL48" s="52"/>
      <c r="GM48" s="52"/>
      <c r="GN48" s="52"/>
      <c r="GO48" s="52"/>
      <c r="GP48" s="52"/>
      <c r="GQ48" s="52"/>
      <c r="GR48" s="52"/>
      <c r="GS48" s="52"/>
      <c r="GT48" s="52"/>
      <c r="GU48" s="52"/>
      <c r="GV48" s="52"/>
      <c r="GW48" s="52"/>
      <c r="GX48" s="52"/>
      <c r="GY48" s="52"/>
      <c r="GZ48" s="52"/>
      <c r="HA48" s="52"/>
      <c r="HB48" s="52"/>
      <c r="HC48" s="52"/>
      <c r="HD48" s="52"/>
      <c r="HE48" s="52"/>
      <c r="HF48" s="52"/>
      <c r="HG48" s="52"/>
      <c r="HH48" s="52"/>
      <c r="HI48" s="52"/>
      <c r="HJ48" s="52"/>
      <c r="HK48" s="52"/>
      <c r="HL48" s="52"/>
      <c r="HM48" s="52"/>
      <c r="HN48" s="52"/>
      <c r="HO48" s="52"/>
      <c r="HP48" s="52"/>
      <c r="HQ48" s="52"/>
      <c r="HR48" s="52"/>
    </row>
    <row r="49" spans="1:226" s="53" customFormat="1" ht="23.25" customHeight="1" thickBot="1">
      <c r="A49" s="131">
        <v>12</v>
      </c>
      <c r="B49" s="40" t="s">
        <v>68</v>
      </c>
      <c r="C49" s="132">
        <v>0</v>
      </c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4"/>
      <c r="O49" s="52"/>
      <c r="P49" s="1"/>
      <c r="Q49" s="1"/>
      <c r="R49" s="2"/>
      <c r="S49" s="1"/>
      <c r="T49" s="1"/>
      <c r="U49" s="1"/>
      <c r="V49" s="91"/>
      <c r="W49" s="1"/>
      <c r="X49" s="1"/>
      <c r="Y49" s="1"/>
      <c r="Z49" s="1"/>
      <c r="AA49" s="1"/>
      <c r="AB49" s="1"/>
      <c r="AC49" s="1"/>
      <c r="AD49" s="1"/>
      <c r="AE49" s="1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/>
      <c r="CK49" s="52"/>
      <c r="CL49" s="52"/>
      <c r="CM49" s="52"/>
      <c r="CN49" s="52"/>
      <c r="CO49" s="52"/>
      <c r="CP49" s="52"/>
      <c r="CQ49" s="52"/>
      <c r="CR49" s="52"/>
      <c r="CS49" s="52"/>
      <c r="CT49" s="52"/>
      <c r="CU49" s="52"/>
      <c r="CV49" s="52"/>
      <c r="CW49" s="52"/>
      <c r="CX49" s="52"/>
      <c r="CY49" s="52"/>
      <c r="CZ49" s="52"/>
      <c r="DA49" s="52"/>
      <c r="DB49" s="52"/>
      <c r="DC49" s="52"/>
      <c r="DD49" s="52"/>
      <c r="DE49" s="52"/>
      <c r="DF49" s="52"/>
      <c r="DG49" s="52"/>
      <c r="DH49" s="52"/>
      <c r="DI49" s="52"/>
      <c r="DJ49" s="52"/>
      <c r="DK49" s="52"/>
      <c r="DL49" s="52"/>
      <c r="DM49" s="52"/>
      <c r="DN49" s="52"/>
      <c r="DO49" s="52"/>
      <c r="DP49" s="52"/>
      <c r="DQ49" s="52"/>
      <c r="DR49" s="52"/>
      <c r="DS49" s="52"/>
      <c r="DT49" s="52"/>
      <c r="DU49" s="52"/>
      <c r="DV49" s="52"/>
      <c r="DW49" s="52"/>
      <c r="DX49" s="52"/>
      <c r="DY49" s="52"/>
      <c r="DZ49" s="52"/>
      <c r="EA49" s="52"/>
      <c r="EB49" s="52"/>
      <c r="EC49" s="52"/>
      <c r="ED49" s="52"/>
      <c r="EE49" s="52"/>
      <c r="EF49" s="52"/>
      <c r="EG49" s="52"/>
      <c r="EH49" s="52"/>
      <c r="EI49" s="52"/>
      <c r="EJ49" s="52"/>
      <c r="EK49" s="52"/>
      <c r="EL49" s="52"/>
      <c r="EM49" s="52"/>
      <c r="EN49" s="52"/>
      <c r="EO49" s="52"/>
      <c r="EP49" s="52"/>
      <c r="EQ49" s="52"/>
      <c r="ER49" s="52"/>
      <c r="ES49" s="52"/>
      <c r="ET49" s="52"/>
      <c r="EU49" s="52"/>
      <c r="EV49" s="52"/>
      <c r="EW49" s="52"/>
      <c r="EX49" s="52"/>
      <c r="EY49" s="52"/>
      <c r="EZ49" s="52"/>
      <c r="FA49" s="52"/>
      <c r="FB49" s="52"/>
      <c r="FC49" s="52"/>
      <c r="FD49" s="52"/>
      <c r="FE49" s="52"/>
      <c r="FF49" s="52"/>
      <c r="FG49" s="52"/>
      <c r="FH49" s="52"/>
      <c r="FI49" s="52"/>
      <c r="FJ49" s="52"/>
      <c r="FK49" s="52"/>
      <c r="FL49" s="52"/>
      <c r="FM49" s="52"/>
      <c r="FN49" s="52"/>
      <c r="FO49" s="52"/>
      <c r="FP49" s="52"/>
      <c r="FQ49" s="52"/>
      <c r="FR49" s="52"/>
      <c r="FS49" s="52"/>
      <c r="FT49" s="52"/>
      <c r="FU49" s="52"/>
      <c r="FV49" s="52"/>
      <c r="FW49" s="52"/>
      <c r="FX49" s="52"/>
      <c r="FY49" s="52"/>
      <c r="FZ49" s="52"/>
      <c r="GA49" s="52"/>
      <c r="GB49" s="52"/>
      <c r="GC49" s="52"/>
      <c r="GD49" s="52"/>
      <c r="GE49" s="52"/>
      <c r="GF49" s="52"/>
      <c r="GG49" s="52"/>
      <c r="GH49" s="52"/>
      <c r="GI49" s="52"/>
      <c r="GJ49" s="52"/>
      <c r="GK49" s="52"/>
      <c r="GL49" s="52"/>
      <c r="GM49" s="52"/>
      <c r="GN49" s="52"/>
      <c r="GO49" s="52"/>
      <c r="GP49" s="52"/>
      <c r="GQ49" s="52"/>
      <c r="GR49" s="52"/>
      <c r="GS49" s="52"/>
      <c r="GT49" s="52"/>
      <c r="GU49" s="52"/>
      <c r="GV49" s="52"/>
      <c r="GW49" s="52"/>
      <c r="GX49" s="52"/>
      <c r="GY49" s="52"/>
      <c r="GZ49" s="52"/>
      <c r="HA49" s="52"/>
      <c r="HB49" s="52"/>
      <c r="HC49" s="52"/>
      <c r="HD49" s="52"/>
      <c r="HE49" s="52"/>
      <c r="HF49" s="52"/>
      <c r="HG49" s="52"/>
      <c r="HH49" s="52"/>
      <c r="HI49" s="52"/>
      <c r="HJ49" s="52"/>
      <c r="HK49" s="52"/>
      <c r="HL49" s="52"/>
      <c r="HM49" s="52"/>
      <c r="HN49" s="52"/>
      <c r="HO49" s="52"/>
      <c r="HP49" s="52"/>
      <c r="HQ49" s="52"/>
      <c r="HR49" s="52"/>
    </row>
    <row r="50" spans="1:226" ht="16.2" thickTop="1">
      <c r="A50" s="251" t="s">
        <v>69</v>
      </c>
      <c r="B50" s="252"/>
      <c r="C50" s="252"/>
      <c r="D50" s="253"/>
      <c r="E50" s="253"/>
      <c r="F50" s="253"/>
      <c r="G50" s="253"/>
      <c r="H50" s="253"/>
      <c r="I50" s="253"/>
      <c r="J50" s="253"/>
      <c r="K50" s="253"/>
      <c r="L50" s="253"/>
      <c r="M50" s="253"/>
      <c r="N50" s="254"/>
    </row>
    <row r="51" spans="1:226" ht="13.2">
      <c r="A51" s="237">
        <v>1</v>
      </c>
      <c r="B51" s="240" t="s">
        <v>134</v>
      </c>
      <c r="C51" s="241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1"/>
      <c r="R51" s="1"/>
      <c r="HP51" s="2"/>
      <c r="HQ51" s="2"/>
    </row>
    <row r="52" spans="1:226" ht="13.2">
      <c r="A52" s="238"/>
      <c r="B52" s="54" t="s">
        <v>70</v>
      </c>
      <c r="C52" s="12">
        <v>0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1"/>
      <c r="R52" s="1"/>
      <c r="HP52" s="2"/>
      <c r="HQ52" s="2"/>
    </row>
    <row r="53" spans="1:226" ht="13.2">
      <c r="A53" s="238"/>
      <c r="B53" s="54" t="s">
        <v>71</v>
      </c>
      <c r="C53" s="12">
        <v>0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1"/>
      <c r="R53" s="1"/>
      <c r="HP53" s="2"/>
      <c r="HQ53" s="2"/>
    </row>
    <row r="54" spans="1:226" ht="13.2">
      <c r="A54" s="238"/>
      <c r="B54" s="54" t="s">
        <v>72</v>
      </c>
      <c r="C54" s="12">
        <v>0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1"/>
      <c r="R54" s="1"/>
      <c r="HP54" s="2"/>
      <c r="HQ54" s="2"/>
    </row>
    <row r="55" spans="1:226" ht="13.2">
      <c r="A55" s="238"/>
      <c r="B55" s="54" t="s">
        <v>73</v>
      </c>
      <c r="C55" s="12">
        <v>0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1"/>
      <c r="R55" s="1"/>
      <c r="HP55" s="2"/>
      <c r="HQ55" s="2"/>
    </row>
    <row r="56" spans="1:226" ht="13.2">
      <c r="A56" s="239"/>
      <c r="B56" s="54" t="s">
        <v>74</v>
      </c>
      <c r="C56" s="12">
        <v>0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1"/>
      <c r="R56" s="1"/>
      <c r="HP56" s="2"/>
      <c r="HQ56" s="2"/>
    </row>
    <row r="57" spans="1:226" ht="13.2">
      <c r="A57" s="237">
        <v>2</v>
      </c>
      <c r="B57" s="55" t="s">
        <v>75</v>
      </c>
      <c r="C57" s="30" t="s">
        <v>41</v>
      </c>
      <c r="D57" s="30" t="s">
        <v>42</v>
      </c>
      <c r="E57" s="30" t="s">
        <v>43</v>
      </c>
      <c r="F57" s="30" t="s">
        <v>44</v>
      </c>
      <c r="G57" s="30" t="s">
        <v>45</v>
      </c>
      <c r="H57" s="30" t="s">
        <v>46</v>
      </c>
      <c r="I57" s="30" t="s">
        <v>47</v>
      </c>
      <c r="J57" s="30" t="s">
        <v>48</v>
      </c>
      <c r="K57" s="30" t="s">
        <v>49</v>
      </c>
      <c r="L57" s="30" t="s">
        <v>50</v>
      </c>
      <c r="M57" s="30" t="s">
        <v>51</v>
      </c>
      <c r="N57" s="41" t="s">
        <v>52</v>
      </c>
    </row>
    <row r="58" spans="1:226" ht="13.2">
      <c r="A58" s="239"/>
      <c r="B58" s="55" t="s">
        <v>76</v>
      </c>
      <c r="C58" s="43">
        <v>1</v>
      </c>
      <c r="D58" s="43">
        <v>1</v>
      </c>
      <c r="E58" s="43">
        <v>1</v>
      </c>
      <c r="F58" s="43">
        <v>1</v>
      </c>
      <c r="G58" s="43">
        <v>1</v>
      </c>
      <c r="H58" s="43">
        <v>1</v>
      </c>
      <c r="I58" s="43">
        <v>1</v>
      </c>
      <c r="J58" s="43">
        <v>1</v>
      </c>
      <c r="K58" s="43">
        <v>1</v>
      </c>
      <c r="L58" s="43">
        <v>1</v>
      </c>
      <c r="M58" s="43">
        <v>1</v>
      </c>
      <c r="N58" s="56">
        <v>1</v>
      </c>
    </row>
    <row r="59" spans="1:226" ht="26.4">
      <c r="A59" s="237">
        <v>3</v>
      </c>
      <c r="B59" s="55" t="s">
        <v>77</v>
      </c>
      <c r="C59" s="30" t="s">
        <v>78</v>
      </c>
      <c r="D59" s="30" t="s">
        <v>79</v>
      </c>
      <c r="E59" s="30" t="s">
        <v>80</v>
      </c>
      <c r="F59" s="57" t="s">
        <v>81</v>
      </c>
      <c r="G59" s="57" t="s">
        <v>82</v>
      </c>
      <c r="H59" s="10"/>
      <c r="I59" s="10"/>
      <c r="J59" s="10"/>
      <c r="K59" s="10"/>
      <c r="L59" s="10"/>
      <c r="M59" s="10"/>
      <c r="N59" s="11"/>
      <c r="P59" s="2"/>
      <c r="R59" s="1"/>
      <c r="HQ59" s="2"/>
    </row>
    <row r="60" spans="1:226" ht="13.2">
      <c r="A60" s="238"/>
      <c r="B60" s="119" t="s">
        <v>35</v>
      </c>
      <c r="C60" s="58">
        <v>0</v>
      </c>
      <c r="D60" s="58">
        <v>0</v>
      </c>
      <c r="E60" s="58">
        <v>0</v>
      </c>
      <c r="F60" s="58">
        <v>0</v>
      </c>
      <c r="G60" s="59">
        <v>0</v>
      </c>
      <c r="H60" s="10"/>
      <c r="I60" s="10"/>
      <c r="J60" s="10"/>
      <c r="K60" s="10"/>
      <c r="L60" s="10"/>
      <c r="M60" s="10"/>
      <c r="N60" s="11"/>
      <c r="P60" s="2"/>
      <c r="R60" s="1"/>
      <c r="HQ60" s="2"/>
    </row>
    <row r="61" spans="1:226" ht="13.2">
      <c r="A61" s="238"/>
      <c r="B61" s="119" t="s">
        <v>36</v>
      </c>
      <c r="C61" s="59">
        <v>0</v>
      </c>
      <c r="D61" s="59">
        <v>0</v>
      </c>
      <c r="E61" s="59">
        <v>0</v>
      </c>
      <c r="F61" s="59">
        <v>0</v>
      </c>
      <c r="G61" s="59">
        <v>0</v>
      </c>
      <c r="H61" s="10"/>
      <c r="I61" s="10"/>
      <c r="J61" s="10"/>
      <c r="K61" s="10"/>
      <c r="L61" s="10"/>
      <c r="M61" s="10"/>
      <c r="N61" s="11"/>
      <c r="P61" s="2"/>
      <c r="R61" s="1"/>
      <c r="HQ61" s="2"/>
    </row>
    <row r="62" spans="1:226" ht="13.2">
      <c r="A62" s="238"/>
      <c r="B62" s="120" t="s">
        <v>83</v>
      </c>
      <c r="C62" s="59">
        <v>0</v>
      </c>
      <c r="D62" s="59">
        <v>0</v>
      </c>
      <c r="E62" s="59">
        <v>0</v>
      </c>
      <c r="F62" s="59">
        <v>0</v>
      </c>
      <c r="G62" s="59">
        <v>0</v>
      </c>
      <c r="H62" s="10"/>
      <c r="I62" s="10"/>
      <c r="J62" s="10"/>
      <c r="K62" s="10"/>
      <c r="L62" s="10"/>
      <c r="M62" s="10"/>
      <c r="N62" s="11"/>
      <c r="P62" s="2"/>
      <c r="R62" s="1"/>
      <c r="HQ62" s="2"/>
    </row>
    <row r="63" spans="1:226" ht="13.2">
      <c r="A63" s="238"/>
      <c r="B63" s="120" t="s">
        <v>84</v>
      </c>
      <c r="C63" s="59">
        <v>0</v>
      </c>
      <c r="D63" s="59">
        <v>0</v>
      </c>
      <c r="E63" s="59">
        <v>0</v>
      </c>
      <c r="F63" s="59">
        <v>0</v>
      </c>
      <c r="G63" s="59">
        <v>0</v>
      </c>
      <c r="H63" s="10"/>
      <c r="I63" s="10"/>
      <c r="J63" s="10"/>
      <c r="K63" s="10"/>
      <c r="L63" s="10"/>
      <c r="M63" s="10"/>
      <c r="N63" s="11"/>
      <c r="P63" s="2"/>
      <c r="R63" s="1"/>
      <c r="HQ63" s="2"/>
    </row>
    <row r="64" spans="1:226" ht="13.2">
      <c r="A64" s="239"/>
      <c r="B64" s="55" t="s">
        <v>85</v>
      </c>
      <c r="C64" s="60">
        <v>0</v>
      </c>
      <c r="D64" s="61"/>
      <c r="E64" s="62"/>
      <c r="F64" s="62"/>
      <c r="G64" s="62"/>
      <c r="H64" s="10"/>
      <c r="I64" s="10"/>
      <c r="J64" s="10"/>
      <c r="K64" s="10"/>
      <c r="L64" s="10"/>
      <c r="M64" s="10"/>
      <c r="N64" s="11"/>
      <c r="P64" s="2"/>
      <c r="R64" s="1"/>
      <c r="HQ64" s="2"/>
    </row>
    <row r="65" spans="1:253" ht="42.75" customHeight="1">
      <c r="A65" s="237">
        <v>4</v>
      </c>
      <c r="B65" s="243" t="s">
        <v>86</v>
      </c>
      <c r="C65" s="245"/>
      <c r="D65" s="246"/>
      <c r="E65" s="246"/>
      <c r="F65" s="246"/>
      <c r="G65" s="247"/>
      <c r="H65" s="10"/>
      <c r="I65" s="10"/>
      <c r="J65" s="10"/>
      <c r="K65" s="10"/>
      <c r="L65" s="10"/>
      <c r="M65" s="10"/>
      <c r="N65" s="11"/>
    </row>
    <row r="66" spans="1:253" thickBot="1">
      <c r="A66" s="242"/>
      <c r="B66" s="244"/>
      <c r="C66" s="248"/>
      <c r="D66" s="249"/>
      <c r="E66" s="249"/>
      <c r="F66" s="249"/>
      <c r="G66" s="250"/>
      <c r="H66" s="135"/>
      <c r="I66" s="135"/>
      <c r="J66" s="135"/>
      <c r="K66" s="135"/>
      <c r="L66" s="135"/>
      <c r="M66" s="135"/>
      <c r="N66" s="136"/>
    </row>
    <row r="67" spans="1:253" s="64" customFormat="1" ht="16.2" thickTop="1">
      <c r="A67" s="258" t="s">
        <v>128</v>
      </c>
      <c r="B67" s="259"/>
      <c r="C67" s="259"/>
      <c r="D67" s="259"/>
      <c r="E67" s="260"/>
      <c r="F67" s="260"/>
      <c r="G67" s="260"/>
      <c r="H67" s="260"/>
      <c r="I67" s="260"/>
      <c r="J67" s="260"/>
      <c r="K67" s="260"/>
      <c r="L67" s="260"/>
      <c r="M67" s="260"/>
      <c r="N67" s="261"/>
      <c r="O67" s="63"/>
      <c r="P67" s="63"/>
      <c r="Q67" s="63"/>
      <c r="S67" s="63"/>
      <c r="T67" s="63"/>
      <c r="U67" s="63"/>
      <c r="V67" s="94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3"/>
      <c r="BV67" s="63"/>
      <c r="BW67" s="63"/>
      <c r="BX67" s="63"/>
      <c r="BY67" s="63"/>
      <c r="BZ67" s="63"/>
      <c r="CA67" s="63"/>
      <c r="CB67" s="63"/>
      <c r="CC67" s="63"/>
      <c r="CD67" s="63"/>
      <c r="CE67" s="63"/>
      <c r="CF67" s="63"/>
      <c r="CG67" s="63"/>
      <c r="CH67" s="63"/>
      <c r="CI67" s="63"/>
      <c r="CJ67" s="63"/>
      <c r="CK67" s="63"/>
      <c r="CL67" s="63"/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3"/>
      <c r="DB67" s="63"/>
      <c r="DC67" s="63"/>
      <c r="DD67" s="63"/>
      <c r="DE67" s="63"/>
      <c r="DF67" s="63"/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63"/>
      <c r="DR67" s="63"/>
      <c r="DS67" s="63"/>
      <c r="DT67" s="63"/>
      <c r="DU67" s="63"/>
      <c r="DV67" s="63"/>
      <c r="DW67" s="63"/>
      <c r="DX67" s="63"/>
      <c r="DY67" s="63"/>
      <c r="DZ67" s="63"/>
      <c r="EA67" s="63"/>
      <c r="EB67" s="63"/>
      <c r="EC67" s="63"/>
      <c r="ED67" s="63"/>
      <c r="EE67" s="63"/>
      <c r="EF67" s="63"/>
      <c r="EG67" s="63"/>
      <c r="EH67" s="63"/>
      <c r="EI67" s="63"/>
      <c r="EJ67" s="63"/>
      <c r="EK67" s="63"/>
      <c r="EL67" s="63"/>
      <c r="EM67" s="63"/>
      <c r="EN67" s="63"/>
      <c r="EO67" s="63"/>
      <c r="EP67" s="63"/>
      <c r="EQ67" s="63"/>
      <c r="ER67" s="63"/>
      <c r="ES67" s="63"/>
      <c r="ET67" s="63"/>
      <c r="EU67" s="63"/>
      <c r="EV67" s="63"/>
      <c r="EW67" s="63"/>
      <c r="EX67" s="63"/>
      <c r="EY67" s="63"/>
      <c r="EZ67" s="63"/>
      <c r="FA67" s="63"/>
      <c r="FB67" s="63"/>
      <c r="FC67" s="63"/>
      <c r="FD67" s="63"/>
      <c r="FE67" s="63"/>
      <c r="FF67" s="63"/>
      <c r="FG67" s="63"/>
      <c r="FH67" s="63"/>
      <c r="FI67" s="63"/>
      <c r="FJ67" s="63"/>
      <c r="FK67" s="63"/>
      <c r="FL67" s="63"/>
      <c r="FM67" s="63"/>
      <c r="FN67" s="63"/>
      <c r="FO67" s="63"/>
      <c r="FP67" s="63"/>
      <c r="FQ67" s="63"/>
      <c r="FR67" s="63"/>
      <c r="FS67" s="63"/>
      <c r="FT67" s="63"/>
      <c r="FU67" s="63"/>
      <c r="FV67" s="63"/>
      <c r="FW67" s="63"/>
      <c r="FX67" s="63"/>
      <c r="FY67" s="63"/>
      <c r="FZ67" s="63"/>
      <c r="GA67" s="63"/>
      <c r="GB67" s="63"/>
      <c r="GC67" s="63"/>
      <c r="GD67" s="63"/>
      <c r="GE67" s="63"/>
      <c r="GF67" s="63"/>
      <c r="GG67" s="63"/>
      <c r="GH67" s="63"/>
      <c r="GI67" s="63"/>
      <c r="GJ67" s="63"/>
      <c r="GK67" s="63"/>
      <c r="GL67" s="63"/>
      <c r="GM67" s="63"/>
      <c r="GN67" s="63"/>
      <c r="GO67" s="63"/>
      <c r="GP67" s="63"/>
      <c r="GQ67" s="63"/>
      <c r="GR67" s="63"/>
      <c r="GS67" s="63"/>
      <c r="GT67" s="63"/>
      <c r="GU67" s="63"/>
      <c r="GV67" s="63"/>
      <c r="GW67" s="63"/>
      <c r="GX67" s="63"/>
      <c r="GY67" s="63"/>
      <c r="GZ67" s="63"/>
      <c r="HA67" s="63"/>
      <c r="HB67" s="63"/>
      <c r="HC67" s="63"/>
      <c r="HD67" s="63"/>
      <c r="HE67" s="63"/>
      <c r="HF67" s="63"/>
      <c r="HG67" s="63"/>
      <c r="HH67" s="63"/>
      <c r="HI67" s="63"/>
      <c r="HJ67" s="63"/>
      <c r="HK67" s="63"/>
      <c r="HL67" s="63"/>
      <c r="HM67" s="63"/>
      <c r="HN67" s="63"/>
      <c r="HO67" s="63"/>
      <c r="HP67" s="63"/>
      <c r="HQ67" s="63"/>
      <c r="HR67" s="63"/>
    </row>
    <row r="68" spans="1:253" ht="19.5" customHeight="1">
      <c r="A68" s="104">
        <v>1</v>
      </c>
      <c r="B68" s="262" t="s">
        <v>87</v>
      </c>
      <c r="C68" s="263"/>
      <c r="D68" s="263"/>
      <c r="E68" s="263"/>
      <c r="F68" s="263"/>
      <c r="G68" s="264"/>
      <c r="H68" s="22"/>
      <c r="I68" s="22"/>
      <c r="J68" s="22"/>
      <c r="K68" s="10"/>
      <c r="L68" s="10"/>
      <c r="M68" s="10"/>
      <c r="N68" s="11"/>
      <c r="O68" s="20"/>
      <c r="P68" s="20"/>
      <c r="Q68" s="20"/>
      <c r="R68" s="23"/>
      <c r="S68" s="20"/>
      <c r="T68" s="20"/>
      <c r="U68" s="20"/>
      <c r="V68" s="93"/>
      <c r="W68" s="20"/>
      <c r="X68" s="20"/>
      <c r="Y68" s="20"/>
      <c r="Z68" s="20"/>
    </row>
    <row r="69" spans="1:253" ht="12.75" customHeight="1">
      <c r="A69" s="268" t="s">
        <v>27</v>
      </c>
      <c r="B69" s="265" t="s">
        <v>18</v>
      </c>
      <c r="C69" s="181" t="s">
        <v>19</v>
      </c>
      <c r="D69" s="182"/>
      <c r="E69" s="185" t="s">
        <v>20</v>
      </c>
      <c r="F69" s="186"/>
      <c r="G69" s="187"/>
      <c r="H69" s="226"/>
      <c r="I69" s="227"/>
      <c r="J69" s="227"/>
      <c r="K69" s="10"/>
      <c r="L69" s="10"/>
      <c r="M69" s="10"/>
      <c r="N69" s="11"/>
      <c r="O69" s="20"/>
      <c r="P69" s="23"/>
      <c r="Q69" s="23"/>
      <c r="R69" s="23"/>
      <c r="S69" s="20"/>
      <c r="T69" s="20"/>
      <c r="U69" s="20"/>
      <c r="V69" s="93"/>
      <c r="W69" s="20"/>
      <c r="X69" s="20"/>
      <c r="Y69" s="20"/>
      <c r="Z69" s="20"/>
      <c r="HQ69" s="2"/>
      <c r="HR69" s="2"/>
    </row>
    <row r="70" spans="1:253" ht="39.75" customHeight="1">
      <c r="A70" s="269"/>
      <c r="B70" s="266"/>
      <c r="C70" s="183"/>
      <c r="D70" s="184"/>
      <c r="E70" s="21" t="s">
        <v>22</v>
      </c>
      <c r="F70" s="24" t="s">
        <v>23</v>
      </c>
      <c r="G70" s="24" t="s">
        <v>24</v>
      </c>
      <c r="H70" s="226"/>
      <c r="I70" s="227"/>
      <c r="J70" s="227"/>
      <c r="K70" s="10"/>
      <c r="L70" s="10"/>
      <c r="M70" s="10"/>
      <c r="N70" s="11"/>
      <c r="O70" s="23"/>
      <c r="P70" s="23"/>
      <c r="Q70" s="20"/>
      <c r="R70" s="20"/>
      <c r="S70" s="20"/>
      <c r="T70" s="20"/>
      <c r="U70" s="20"/>
      <c r="V70" s="93"/>
      <c r="W70" s="20"/>
      <c r="X70" s="20"/>
      <c r="HQ70" s="2"/>
      <c r="HR70" s="2"/>
    </row>
    <row r="71" spans="1:253" ht="39" customHeight="1">
      <c r="A71" s="269"/>
      <c r="B71" s="267"/>
      <c r="C71" s="25" t="s">
        <v>25</v>
      </c>
      <c r="D71" s="25" t="s">
        <v>26</v>
      </c>
      <c r="E71" s="25" t="s">
        <v>25</v>
      </c>
      <c r="F71" s="25" t="s">
        <v>25</v>
      </c>
      <c r="G71" s="25" t="s">
        <v>25</v>
      </c>
      <c r="H71" s="226"/>
      <c r="I71" s="227"/>
      <c r="J71" s="227"/>
      <c r="K71" s="10"/>
      <c r="L71" s="10"/>
      <c r="M71" s="10"/>
      <c r="N71" s="11"/>
      <c r="O71" s="23"/>
      <c r="P71" s="23"/>
      <c r="Q71" s="20"/>
      <c r="R71" s="20"/>
      <c r="S71" s="20"/>
      <c r="T71" s="20"/>
      <c r="U71" s="20"/>
      <c r="V71" s="93"/>
      <c r="W71" s="20"/>
      <c r="X71" s="20"/>
      <c r="HQ71" s="2"/>
      <c r="HR71" s="2"/>
    </row>
    <row r="72" spans="1:253" ht="12.75" customHeight="1">
      <c r="A72" s="269"/>
      <c r="B72" s="121" t="s">
        <v>125</v>
      </c>
      <c r="C72" s="19">
        <v>0</v>
      </c>
      <c r="D72" s="65">
        <v>0</v>
      </c>
      <c r="E72" s="65">
        <v>0</v>
      </c>
      <c r="F72" s="65">
        <v>0</v>
      </c>
      <c r="G72" s="65">
        <v>0</v>
      </c>
      <c r="H72" s="66"/>
      <c r="I72" s="108" t="s">
        <v>88</v>
      </c>
      <c r="J72" s="109"/>
      <c r="K72" s="110"/>
      <c r="L72" s="10"/>
      <c r="M72" s="10"/>
      <c r="N72" s="11"/>
      <c r="O72" s="23"/>
      <c r="P72" s="23"/>
      <c r="Q72" s="20"/>
      <c r="R72" s="20"/>
      <c r="S72" s="20"/>
      <c r="T72" s="20"/>
      <c r="U72" s="20"/>
      <c r="V72" s="93"/>
      <c r="W72" s="20"/>
      <c r="X72" s="20"/>
      <c r="HQ72" s="2"/>
      <c r="HR72" s="2"/>
    </row>
    <row r="73" spans="1:253" ht="12.75" customHeight="1">
      <c r="A73" s="269"/>
      <c r="B73" s="121" t="s">
        <v>126</v>
      </c>
      <c r="C73" s="19">
        <v>0</v>
      </c>
      <c r="D73" s="65">
        <v>0</v>
      </c>
      <c r="E73" s="65">
        <v>0</v>
      </c>
      <c r="F73" s="65">
        <v>0</v>
      </c>
      <c r="G73" s="65">
        <v>0</v>
      </c>
      <c r="H73" s="66"/>
      <c r="I73" s="110" t="s">
        <v>89</v>
      </c>
      <c r="J73" s="110" t="s">
        <v>90</v>
      </c>
      <c r="K73" s="110"/>
      <c r="L73" s="87"/>
      <c r="M73" s="10"/>
      <c r="N73" s="11"/>
      <c r="O73" s="23"/>
      <c r="P73" s="23"/>
      <c r="Q73" s="20"/>
      <c r="R73" s="20"/>
      <c r="S73" s="20"/>
      <c r="T73" s="20"/>
      <c r="U73" s="20"/>
      <c r="V73" s="93"/>
      <c r="W73" s="20"/>
      <c r="X73" s="20"/>
      <c r="HQ73" s="2"/>
      <c r="HR73" s="2"/>
    </row>
    <row r="74" spans="1:253" ht="12.75" customHeight="1">
      <c r="A74" s="269"/>
      <c r="B74" s="30" t="s">
        <v>28</v>
      </c>
      <c r="C74" s="19">
        <v>0</v>
      </c>
      <c r="D74" s="65">
        <v>0</v>
      </c>
      <c r="E74" s="65">
        <v>0</v>
      </c>
      <c r="F74" s="65">
        <v>0</v>
      </c>
      <c r="G74" s="65">
        <v>0</v>
      </c>
      <c r="H74" s="66"/>
      <c r="I74" s="123" t="str">
        <f>IFERROR(C29*E29+C29*F29+C29*G29/C43,"")</f>
        <v/>
      </c>
      <c r="J74" s="123" t="str">
        <f>IFERROR(C29*E29*C43+C29*F29*C44+C29*G29,"")</f>
        <v/>
      </c>
      <c r="K74" s="110"/>
      <c r="L74" s="87"/>
      <c r="M74" s="10"/>
      <c r="N74" s="11"/>
      <c r="O74" s="23"/>
      <c r="P74" s="23"/>
      <c r="Q74" s="20"/>
      <c r="R74" s="20"/>
      <c r="S74" s="20"/>
      <c r="T74" s="20"/>
      <c r="U74" s="20"/>
      <c r="V74" s="93"/>
      <c r="W74" s="20"/>
      <c r="X74" s="20"/>
      <c r="HQ74" s="2"/>
      <c r="HR74" s="2"/>
    </row>
    <row r="75" spans="1:253" ht="13.2">
      <c r="A75" s="269"/>
      <c r="B75" s="30" t="s">
        <v>29</v>
      </c>
      <c r="C75" s="26">
        <v>0</v>
      </c>
      <c r="D75" s="26">
        <v>0</v>
      </c>
      <c r="E75" s="26">
        <v>0</v>
      </c>
      <c r="F75" s="26">
        <v>0</v>
      </c>
      <c r="G75" s="26">
        <v>0</v>
      </c>
      <c r="H75" s="66"/>
      <c r="I75" s="110"/>
      <c r="J75" s="110"/>
      <c r="K75" s="110"/>
      <c r="L75" s="87"/>
      <c r="M75" s="10"/>
      <c r="N75" s="11"/>
      <c r="O75" s="23"/>
      <c r="P75" s="23"/>
      <c r="Q75" s="20"/>
      <c r="R75" s="20"/>
      <c r="S75" s="20"/>
      <c r="T75" s="20"/>
      <c r="U75" s="20"/>
      <c r="V75" s="93"/>
      <c r="W75" s="20"/>
      <c r="X75" s="20"/>
      <c r="HQ75" s="2"/>
      <c r="HR75" s="2"/>
    </row>
    <row r="76" spans="1:253" s="1" customFormat="1" ht="13.2">
      <c r="A76" s="269"/>
      <c r="B76" s="30" t="s">
        <v>30</v>
      </c>
      <c r="C76" s="19">
        <v>0</v>
      </c>
      <c r="D76" s="65">
        <v>0</v>
      </c>
      <c r="E76" s="65">
        <v>0</v>
      </c>
      <c r="F76" s="65">
        <v>0</v>
      </c>
      <c r="G76" s="65">
        <v>0</v>
      </c>
      <c r="H76" s="66"/>
      <c r="I76" s="111" t="s">
        <v>91</v>
      </c>
      <c r="J76" s="110"/>
      <c r="K76" s="110"/>
      <c r="L76" s="87"/>
      <c r="M76" s="10"/>
      <c r="N76" s="11"/>
      <c r="O76" s="20"/>
      <c r="P76" s="20"/>
      <c r="Q76" s="20"/>
      <c r="R76" s="20"/>
      <c r="S76" s="20"/>
      <c r="T76" s="20"/>
      <c r="U76" s="20"/>
      <c r="V76" s="93"/>
      <c r="W76" s="20"/>
      <c r="X76" s="20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</row>
    <row r="77" spans="1:253" s="1" customFormat="1" ht="13.2">
      <c r="A77" s="269"/>
      <c r="B77" s="30" t="s">
        <v>31</v>
      </c>
      <c r="C77" s="19">
        <v>0</v>
      </c>
      <c r="D77" s="65">
        <v>0</v>
      </c>
      <c r="E77" s="65">
        <v>0</v>
      </c>
      <c r="F77" s="65">
        <v>0</v>
      </c>
      <c r="G77" s="65">
        <v>0</v>
      </c>
      <c r="H77" s="66"/>
      <c r="I77" s="110" t="s">
        <v>89</v>
      </c>
      <c r="J77" s="110" t="s">
        <v>90</v>
      </c>
      <c r="K77" s="110"/>
      <c r="L77" s="87"/>
      <c r="M77" s="10"/>
      <c r="N77" s="11"/>
      <c r="O77" s="20"/>
      <c r="P77" s="20"/>
      <c r="Q77" s="20"/>
      <c r="R77" s="20"/>
      <c r="S77" s="20"/>
      <c r="T77" s="20"/>
      <c r="U77" s="20"/>
      <c r="V77" s="93"/>
      <c r="W77" s="20"/>
      <c r="X77" s="20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</row>
    <row r="78" spans="1:253" s="1" customFormat="1" ht="13.2">
      <c r="A78" s="269"/>
      <c r="B78" s="30" t="s">
        <v>32</v>
      </c>
      <c r="C78" s="19">
        <v>0</v>
      </c>
      <c r="D78" s="19">
        <v>0</v>
      </c>
      <c r="E78" s="19"/>
      <c r="F78" s="19"/>
      <c r="G78" s="19"/>
      <c r="H78" s="28"/>
      <c r="I78" s="123" t="str">
        <f>IFERROR(C79*E79+C79*F79+C79*G79/C87,"")</f>
        <v/>
      </c>
      <c r="J78" s="123" t="str">
        <f>IFERROR(C79*E79*C43+C79*F79*C87+C79*G79,"")</f>
        <v/>
      </c>
      <c r="K78" s="110"/>
      <c r="L78" s="87"/>
      <c r="M78" s="10"/>
      <c r="N78" s="11"/>
      <c r="O78" s="20"/>
      <c r="P78" s="20"/>
      <c r="Q78" s="20"/>
      <c r="R78" s="20"/>
      <c r="S78" s="20"/>
      <c r="T78" s="20"/>
      <c r="U78" s="20"/>
      <c r="V78" s="93"/>
      <c r="W78" s="20"/>
      <c r="X78" s="20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</row>
    <row r="79" spans="1:253" s="1" customFormat="1" ht="17.399999999999999">
      <c r="A79" s="270"/>
      <c r="B79" s="30" t="s">
        <v>33</v>
      </c>
      <c r="C79" s="68">
        <f>SUM(C72:C78)</f>
        <v>0</v>
      </c>
      <c r="D79" s="31">
        <f>SUM(D72:D78)</f>
        <v>0</v>
      </c>
      <c r="E79" s="33" t="e">
        <f>SUMPRODUCT(E72:E78,$C72:$C78)/$C79</f>
        <v>#DIV/0!</v>
      </c>
      <c r="F79" s="33" t="e">
        <f>SUMPRODUCT(F72:F78,$C72:$C78)/$C79</f>
        <v>#DIV/0!</v>
      </c>
      <c r="G79" s="33" t="e">
        <f>SUMPRODUCT(G72:G78,$C72:$C78)/$C79</f>
        <v>#DIV/0!</v>
      </c>
      <c r="H79" s="35"/>
      <c r="I79" s="67"/>
      <c r="J79" s="67"/>
      <c r="K79" s="10"/>
      <c r="L79" s="86" t="str">
        <f>IF(ISERROR(IF((MAX(J78,J74)-MIN(J74,J78))/MAX(J78,J74)&lt;10%,"","ОШИБКА: Вход не равен Выходу, см. Примечание"))=TRUE,"",IF((MAX(J78,J74)-MIN(J74,J78))/MAX(J78,J74)&lt;10%,"","ОШИБКА: Вход не равен Выходу, см. Примечание"))</f>
        <v/>
      </c>
      <c r="M79" s="10"/>
      <c r="N79" s="11"/>
      <c r="O79" s="20"/>
      <c r="P79" s="20"/>
      <c r="Q79" s="20"/>
      <c r="R79" s="20"/>
      <c r="S79" s="20"/>
      <c r="T79" s="20"/>
      <c r="U79" s="20"/>
      <c r="V79" s="93"/>
      <c r="W79" s="20"/>
      <c r="X79" s="20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</row>
    <row r="80" spans="1:253" s="1" customFormat="1" ht="13.2">
      <c r="A80" s="233">
        <v>2</v>
      </c>
      <c r="B80" s="44" t="s">
        <v>40</v>
      </c>
      <c r="C80" s="25" t="s">
        <v>41</v>
      </c>
      <c r="D80" s="30" t="s">
        <v>42</v>
      </c>
      <c r="E80" s="30" t="s">
        <v>43</v>
      </c>
      <c r="F80" s="30" t="s">
        <v>44</v>
      </c>
      <c r="G80" s="30" t="s">
        <v>45</v>
      </c>
      <c r="H80" s="30" t="s">
        <v>46</v>
      </c>
      <c r="I80" s="30" t="s">
        <v>47</v>
      </c>
      <c r="J80" s="30" t="s">
        <v>48</v>
      </c>
      <c r="K80" s="30" t="s">
        <v>49</v>
      </c>
      <c r="L80" s="30" t="s">
        <v>50</v>
      </c>
      <c r="M80" s="30" t="s">
        <v>51</v>
      </c>
      <c r="N80" s="41" t="s">
        <v>52</v>
      </c>
      <c r="O80" s="20"/>
      <c r="P80" s="20"/>
      <c r="Q80" s="20"/>
      <c r="R80" s="20"/>
      <c r="S80" s="20"/>
      <c r="T80" s="20"/>
      <c r="U80" s="20"/>
      <c r="V80" s="93"/>
      <c r="W80" s="20"/>
      <c r="X80" s="20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</row>
    <row r="81" spans="1:253" s="1" customFormat="1" ht="13.2">
      <c r="A81" s="234"/>
      <c r="B81" s="95" t="s">
        <v>53</v>
      </c>
      <c r="C81" s="43">
        <v>1</v>
      </c>
      <c r="D81" s="43">
        <v>1</v>
      </c>
      <c r="E81" s="43">
        <v>1</v>
      </c>
      <c r="F81" s="43">
        <v>1</v>
      </c>
      <c r="G81" s="43">
        <v>1</v>
      </c>
      <c r="H81" s="43">
        <v>1</v>
      </c>
      <c r="I81" s="43">
        <v>1</v>
      </c>
      <c r="J81" s="43">
        <v>1</v>
      </c>
      <c r="K81" s="43">
        <v>1</v>
      </c>
      <c r="L81" s="43">
        <v>1</v>
      </c>
      <c r="M81" s="43">
        <v>1</v>
      </c>
      <c r="N81" s="56">
        <v>1</v>
      </c>
      <c r="O81" s="20"/>
      <c r="P81" s="20"/>
      <c r="Q81" s="20"/>
      <c r="R81" s="20"/>
      <c r="S81" s="20"/>
      <c r="T81" s="20"/>
      <c r="U81" s="20"/>
      <c r="V81" s="93"/>
      <c r="W81" s="20"/>
      <c r="X81" s="20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</row>
    <row r="82" spans="1:253" s="1" customFormat="1" ht="17.399999999999999">
      <c r="A82" s="233">
        <v>3</v>
      </c>
      <c r="B82" s="235" t="s">
        <v>92</v>
      </c>
      <c r="C82" s="21" t="s">
        <v>25</v>
      </c>
      <c r="D82" s="21" t="s">
        <v>61</v>
      </c>
      <c r="E82" s="36"/>
      <c r="F82" s="36"/>
      <c r="G82" s="36"/>
      <c r="H82" s="69"/>
      <c r="I82" s="67"/>
      <c r="J82" s="67"/>
      <c r="K82" s="10"/>
      <c r="L82" s="70"/>
      <c r="M82" s="10"/>
      <c r="N82" s="11"/>
      <c r="O82" s="20"/>
      <c r="P82" s="20"/>
      <c r="Q82" s="20"/>
      <c r="R82" s="20"/>
      <c r="S82" s="20"/>
      <c r="T82" s="20"/>
      <c r="U82" s="20"/>
      <c r="V82" s="93"/>
      <c r="W82" s="20"/>
      <c r="X82" s="20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</row>
    <row r="83" spans="1:253" s="1" customFormat="1" ht="17.399999999999999">
      <c r="A83" s="234"/>
      <c r="B83" s="236"/>
      <c r="C83" s="65">
        <v>0</v>
      </c>
      <c r="D83" s="65">
        <v>0</v>
      </c>
      <c r="E83" s="36"/>
      <c r="F83" s="36"/>
      <c r="G83" s="36"/>
      <c r="H83" s="69"/>
      <c r="I83" s="67"/>
      <c r="J83" s="67"/>
      <c r="K83" s="10"/>
      <c r="L83" s="70"/>
      <c r="M83" s="10"/>
      <c r="N83" s="11"/>
      <c r="O83" s="20"/>
      <c r="P83" s="20"/>
      <c r="Q83" s="20"/>
      <c r="R83" s="20"/>
      <c r="S83" s="20"/>
      <c r="T83" s="20"/>
      <c r="U83" s="20"/>
      <c r="V83" s="93"/>
      <c r="W83" s="20"/>
      <c r="X83" s="20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</row>
    <row r="84" spans="1:253" s="1" customFormat="1">
      <c r="A84" s="105">
        <v>4</v>
      </c>
      <c r="B84" s="71" t="s">
        <v>121</v>
      </c>
      <c r="C84" s="65">
        <v>0</v>
      </c>
      <c r="D84" s="65">
        <v>0</v>
      </c>
      <c r="E84" s="36"/>
      <c r="F84" s="36"/>
      <c r="G84" s="36"/>
      <c r="H84" s="69"/>
      <c r="I84" s="280" t="s">
        <v>98</v>
      </c>
      <c r="J84" s="280"/>
      <c r="K84" s="280"/>
      <c r="L84" s="280"/>
      <c r="M84" s="280"/>
      <c r="N84" s="11"/>
      <c r="O84" s="20"/>
      <c r="P84" s="20"/>
      <c r="Q84" s="20"/>
      <c r="R84" s="20"/>
      <c r="S84" s="20"/>
      <c r="T84" s="20"/>
      <c r="U84" s="20"/>
      <c r="V84" s="93"/>
      <c r="W84" s="20"/>
      <c r="X84" s="20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</row>
    <row r="85" spans="1:253" s="1" customFormat="1">
      <c r="A85" s="104">
        <v>5</v>
      </c>
      <c r="B85" s="71" t="s">
        <v>122</v>
      </c>
      <c r="C85" s="72">
        <v>0</v>
      </c>
      <c r="D85" s="72">
        <v>0</v>
      </c>
      <c r="E85" s="36"/>
      <c r="F85" s="36"/>
      <c r="G85" s="36"/>
      <c r="H85" s="69"/>
      <c r="I85" s="272">
        <v>0</v>
      </c>
      <c r="J85" s="273"/>
      <c r="K85" s="273"/>
      <c r="L85" s="273"/>
      <c r="M85" s="274"/>
      <c r="N85" s="11"/>
      <c r="O85" s="20"/>
      <c r="P85" s="20"/>
      <c r="Q85" s="20"/>
      <c r="R85" s="20"/>
      <c r="S85" s="20"/>
      <c r="T85" s="20"/>
      <c r="U85" s="20"/>
      <c r="V85" s="93"/>
      <c r="W85" s="20"/>
      <c r="X85" s="20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</row>
    <row r="86" spans="1:253" ht="13.2">
      <c r="A86" s="233">
        <v>6</v>
      </c>
      <c r="B86" s="74" t="s">
        <v>93</v>
      </c>
      <c r="C86" s="73" t="s">
        <v>25</v>
      </c>
      <c r="D86" s="73" t="s">
        <v>61</v>
      </c>
      <c r="E86" s="67"/>
      <c r="F86" s="67"/>
      <c r="G86" s="67"/>
      <c r="H86" s="1"/>
      <c r="I86" s="281" t="s">
        <v>99</v>
      </c>
      <c r="J86" s="281"/>
      <c r="K86" s="281"/>
      <c r="L86" s="281"/>
      <c r="M86" s="281"/>
      <c r="N86" s="11"/>
      <c r="P86" s="2"/>
      <c r="R86" s="1"/>
      <c r="HQ86" s="2"/>
    </row>
    <row r="87" spans="1:253" ht="13.2">
      <c r="A87" s="234"/>
      <c r="B87" s="98" t="s">
        <v>94</v>
      </c>
      <c r="C87" s="26">
        <v>0</v>
      </c>
      <c r="D87" s="26">
        <v>0</v>
      </c>
      <c r="E87" s="67"/>
      <c r="F87" s="67"/>
      <c r="G87" s="67"/>
      <c r="H87" s="1"/>
      <c r="I87" s="272">
        <v>0</v>
      </c>
      <c r="J87" s="273"/>
      <c r="K87" s="273"/>
      <c r="L87" s="273"/>
      <c r="M87" s="274"/>
      <c r="N87" s="11"/>
      <c r="P87" s="2"/>
      <c r="R87" s="1"/>
      <c r="HQ87" s="2"/>
    </row>
    <row r="88" spans="1:253" ht="13.2">
      <c r="A88" s="278">
        <v>7</v>
      </c>
      <c r="B88" s="37" t="s">
        <v>95</v>
      </c>
      <c r="C88" s="76" t="s">
        <v>25</v>
      </c>
      <c r="D88" s="76" t="s">
        <v>61</v>
      </c>
      <c r="E88" s="67"/>
      <c r="F88" s="67"/>
      <c r="G88" s="67"/>
      <c r="H88" s="67"/>
      <c r="I88" s="67"/>
      <c r="J88" s="67"/>
      <c r="K88" s="67"/>
      <c r="L88" s="67"/>
      <c r="M88" s="67"/>
      <c r="N88" s="11"/>
    </row>
    <row r="89" spans="1:253" ht="13.2">
      <c r="A89" s="279"/>
      <c r="B89" s="97" t="s">
        <v>96</v>
      </c>
      <c r="C89" s="26">
        <v>0</v>
      </c>
      <c r="D89" s="26">
        <v>0</v>
      </c>
      <c r="E89" s="67"/>
      <c r="F89" s="67"/>
      <c r="G89" s="67"/>
      <c r="H89" s="67"/>
      <c r="I89" s="67"/>
      <c r="J89" s="67"/>
      <c r="K89" s="67"/>
      <c r="L89" s="67"/>
      <c r="M89" s="67"/>
      <c r="N89" s="11"/>
    </row>
    <row r="90" spans="1:253" ht="26.4">
      <c r="A90" s="106">
        <v>8</v>
      </c>
      <c r="B90" s="75" t="s">
        <v>97</v>
      </c>
      <c r="C90" s="77">
        <v>0</v>
      </c>
      <c r="D90" s="85"/>
      <c r="E90" s="67"/>
      <c r="F90" s="67"/>
      <c r="G90" s="67"/>
      <c r="H90" s="67"/>
      <c r="I90" s="67"/>
      <c r="J90" s="67"/>
      <c r="K90" s="67"/>
      <c r="L90" s="67"/>
      <c r="M90" s="67"/>
      <c r="N90" s="11"/>
    </row>
    <row r="91" spans="1:253" ht="13.2">
      <c r="A91" s="233">
        <v>9</v>
      </c>
      <c r="B91" s="78" t="s">
        <v>100</v>
      </c>
      <c r="C91" s="79">
        <v>0</v>
      </c>
      <c r="D91" s="67"/>
      <c r="E91" s="67"/>
      <c r="F91" s="67"/>
      <c r="G91" s="67"/>
      <c r="H91" s="67"/>
      <c r="I91" s="1"/>
      <c r="J91" s="1"/>
      <c r="K91" s="1"/>
      <c r="L91" s="1"/>
      <c r="M91" s="1"/>
      <c r="N91" s="11"/>
    </row>
    <row r="92" spans="1:253" ht="13.2">
      <c r="A92" s="271"/>
      <c r="B92" s="80" t="s">
        <v>101</v>
      </c>
      <c r="C92" s="79">
        <v>0</v>
      </c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11"/>
    </row>
    <row r="93" spans="1:253" ht="13.2">
      <c r="A93" s="234"/>
      <c r="B93" s="81" t="s">
        <v>102</v>
      </c>
      <c r="C93" s="82">
        <v>0</v>
      </c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11"/>
    </row>
    <row r="94" spans="1:253" ht="52.8">
      <c r="A94" s="233">
        <v>10</v>
      </c>
      <c r="B94" s="83" t="s">
        <v>103</v>
      </c>
      <c r="C94" s="73" t="s">
        <v>104</v>
      </c>
      <c r="D94" s="73" t="s">
        <v>105</v>
      </c>
      <c r="E94" s="73" t="s">
        <v>106</v>
      </c>
      <c r="F94" s="73" t="s">
        <v>107</v>
      </c>
      <c r="G94" s="275" t="str">
        <f>IF(ISERROR(IF( ROUND(C95,1)=ROUND(C97,1),"","ОШИБКА: Подборка монопаллет не равна отгрузке"))=TRUE,"",IF( ROUND(C95,1)=ROUND(C97,1),"","ОШИБКА: Подборка монопаллет не равна отгрузке"))</f>
        <v/>
      </c>
      <c r="H94" s="275"/>
      <c r="I94" s="275" t="str">
        <f>IF(ISERROR(IF( ROUND(E95+D95,1)=ROUND(E97+D97,1),"","ОШИБКА: Кор/шт подборка не равна отгрузке"))=TRUE,"",IF( ROUND(E95+D95,1)=ROUND(E97+D97,1),"","ОШИБКА: Кор/шт подборка не равна отгрузке"))</f>
        <v/>
      </c>
      <c r="J94" s="275"/>
      <c r="K94" s="67"/>
      <c r="L94" s="67"/>
      <c r="M94" s="67"/>
      <c r="N94" s="11"/>
      <c r="P94" s="2"/>
      <c r="R94" s="1"/>
      <c r="HQ94" s="2"/>
      <c r="HR94" s="2"/>
    </row>
    <row r="95" spans="1:253" ht="12.75" customHeight="1">
      <c r="A95" s="271"/>
      <c r="B95" s="7" t="s">
        <v>108</v>
      </c>
      <c r="C95" s="84">
        <v>0</v>
      </c>
      <c r="D95" s="84">
        <v>0</v>
      </c>
      <c r="E95" s="84">
        <v>0</v>
      </c>
      <c r="F95" s="84">
        <v>0</v>
      </c>
      <c r="G95" s="275"/>
      <c r="H95" s="275"/>
      <c r="I95" s="275"/>
      <c r="J95" s="275"/>
      <c r="K95" s="67"/>
      <c r="L95" s="67"/>
      <c r="M95" s="67"/>
      <c r="N95" s="11"/>
      <c r="Q95" s="2"/>
      <c r="R95" s="1"/>
      <c r="HR95" s="2"/>
    </row>
    <row r="96" spans="1:253" ht="39.75" hidden="1" customHeight="1">
      <c r="A96" s="276"/>
      <c r="B96" s="88" t="s">
        <v>109</v>
      </c>
      <c r="C96" s="89" t="s">
        <v>104</v>
      </c>
      <c r="D96" s="89" t="s">
        <v>110</v>
      </c>
      <c r="E96" s="89" t="s">
        <v>111</v>
      </c>
      <c r="F96" s="67"/>
      <c r="G96" s="275"/>
      <c r="H96" s="275"/>
      <c r="I96" s="275"/>
      <c r="J96" s="275"/>
      <c r="K96" s="67"/>
      <c r="L96" s="67"/>
      <c r="M96" s="67"/>
      <c r="N96" s="11"/>
    </row>
    <row r="97" spans="1:14" hidden="1" thickBot="1">
      <c r="A97" s="277"/>
      <c r="B97" s="138" t="s">
        <v>108</v>
      </c>
      <c r="C97" s="139" t="e">
        <f>E79*C43/(E79*C43+F79*C87+G79)</f>
        <v>#DIV/0!</v>
      </c>
      <c r="D97" s="139" t="e">
        <f>F79*C87/(E79*C43+F79*C87+G79)</f>
        <v>#DIV/0!</v>
      </c>
      <c r="E97" s="139" t="e">
        <f>1-C97-D97</f>
        <v>#DIV/0!</v>
      </c>
      <c r="F97" s="135"/>
      <c r="G97" s="135"/>
      <c r="H97" s="135"/>
      <c r="I97" s="135"/>
      <c r="J97" s="135"/>
      <c r="K97" s="135"/>
      <c r="L97" s="135"/>
      <c r="M97" s="135"/>
      <c r="N97" s="136"/>
    </row>
    <row r="98" spans="1:14" ht="12.75" customHeight="1">
      <c r="A98" s="287" t="s">
        <v>112</v>
      </c>
      <c r="B98" s="288"/>
      <c r="C98" s="288"/>
      <c r="D98" s="288"/>
      <c r="E98" s="288"/>
      <c r="F98" s="288"/>
      <c r="G98" s="288"/>
      <c r="H98" s="288"/>
      <c r="I98" s="288"/>
      <c r="J98" s="288"/>
      <c r="K98" s="288"/>
      <c r="L98" s="288"/>
      <c r="M98" s="288"/>
      <c r="N98" s="289"/>
    </row>
    <row r="99" spans="1:14" ht="22.5" customHeight="1">
      <c r="A99" s="290">
        <v>1</v>
      </c>
      <c r="B99" s="293" t="s">
        <v>123</v>
      </c>
      <c r="C99" s="296"/>
      <c r="D99" s="297"/>
      <c r="E99" s="296"/>
      <c r="F99" s="297"/>
      <c r="G99" s="296"/>
      <c r="H99" s="297"/>
      <c r="I99" s="296"/>
      <c r="J99" s="297"/>
      <c r="K99" s="296"/>
      <c r="L99" s="297"/>
      <c r="M99" s="296"/>
      <c r="N99" s="302"/>
    </row>
    <row r="100" spans="1:14" ht="19.5" customHeight="1">
      <c r="A100" s="291"/>
      <c r="B100" s="294"/>
      <c r="C100" s="298"/>
      <c r="D100" s="299"/>
      <c r="E100" s="298"/>
      <c r="F100" s="299"/>
      <c r="G100" s="298"/>
      <c r="H100" s="299"/>
      <c r="I100" s="298"/>
      <c r="J100" s="299"/>
      <c r="K100" s="298"/>
      <c r="L100" s="299"/>
      <c r="M100" s="298"/>
      <c r="N100" s="303"/>
    </row>
    <row r="101" spans="1:14" ht="20.25" customHeight="1" thickBot="1">
      <c r="A101" s="292"/>
      <c r="B101" s="295"/>
      <c r="C101" s="300"/>
      <c r="D101" s="301"/>
      <c r="E101" s="300"/>
      <c r="F101" s="301"/>
      <c r="G101" s="300"/>
      <c r="H101" s="301"/>
      <c r="I101" s="300"/>
      <c r="J101" s="301"/>
      <c r="K101" s="300"/>
      <c r="L101" s="301"/>
      <c r="M101" s="300"/>
      <c r="N101" s="304"/>
    </row>
    <row r="102" spans="1:14" ht="14.4" thickBot="1">
      <c r="C102" s="2"/>
      <c r="D102" s="2"/>
      <c r="E102" s="2"/>
      <c r="F102" s="2"/>
    </row>
    <row r="103" spans="1:14" ht="18" thickTop="1">
      <c r="A103" s="284" t="s">
        <v>171</v>
      </c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6"/>
    </row>
    <row r="104" spans="1:14" ht="17.399999999999999">
      <c r="A104" s="174"/>
      <c r="B104" s="173"/>
      <c r="C104" s="171" t="s">
        <v>135</v>
      </c>
      <c r="D104" s="172"/>
      <c r="E104" s="172"/>
      <c r="F104" s="173"/>
      <c r="G104" s="171" t="s">
        <v>172</v>
      </c>
      <c r="H104" s="172"/>
      <c r="I104" s="172"/>
      <c r="J104" s="172"/>
      <c r="K104" s="172"/>
      <c r="L104" s="172"/>
      <c r="M104" s="173"/>
      <c r="N104" s="170" t="s">
        <v>173</v>
      </c>
    </row>
    <row r="105" spans="1:14" ht="40.049999999999997" customHeight="1">
      <c r="A105" s="307">
        <v>1</v>
      </c>
      <c r="B105" s="305" t="s">
        <v>174</v>
      </c>
      <c r="C105" s="282" t="s">
        <v>160</v>
      </c>
      <c r="D105" s="282"/>
      <c r="E105" s="282"/>
      <c r="F105" s="282"/>
      <c r="G105" s="310" t="str">
        <f>IFERROR(VLOOKUP(C105,'Лист2 (2)'!$B$4:$D$31,2,0),"")</f>
        <v>Подбор ТМЦ - упаковка/коробка/мешок/ведро. Поиск в зоне хранения и подготовка к отгрузке по учетной системе.</v>
      </c>
      <c r="H105" s="310"/>
      <c r="I105" s="310"/>
      <c r="J105" s="310"/>
      <c r="K105" s="310"/>
      <c r="L105" s="310"/>
      <c r="M105" s="310"/>
      <c r="N105" s="166" t="str">
        <f>IFERROR(VLOOKUP(C105,'Лист2 (2)'!$B$4:$D$31,3,0),"")</f>
        <v>упаковка/коробка</v>
      </c>
    </row>
    <row r="106" spans="1:14" ht="40.049999999999997" customHeight="1">
      <c r="A106" s="308"/>
      <c r="B106" s="305"/>
      <c r="C106" s="282" t="s">
        <v>168</v>
      </c>
      <c r="D106" s="282"/>
      <c r="E106" s="282"/>
      <c r="F106" s="282"/>
      <c r="G106" s="310"/>
      <c r="H106" s="310"/>
      <c r="I106" s="310"/>
      <c r="J106" s="310"/>
      <c r="K106" s="310"/>
      <c r="L106" s="310"/>
      <c r="M106" s="310"/>
      <c r="N106" s="166"/>
    </row>
    <row r="107" spans="1:14" ht="40.049999999999997" customHeight="1">
      <c r="A107" s="308"/>
      <c r="B107" s="305"/>
      <c r="C107" s="282"/>
      <c r="D107" s="282"/>
      <c r="E107" s="282"/>
      <c r="F107" s="282"/>
      <c r="G107" s="310" t="str">
        <f>IFERROR(VLOOKUP(C107,'Лист2 (2)'!$B$4:$D$31,2,0),"")</f>
        <v/>
      </c>
      <c r="H107" s="310"/>
      <c r="I107" s="310"/>
      <c r="J107" s="310"/>
      <c r="K107" s="310"/>
      <c r="L107" s="310"/>
      <c r="M107" s="310"/>
      <c r="N107" s="166" t="str">
        <f>IFERROR(VLOOKUP(C107,'Лист2 (2)'!$B$4:$D$31,3,0),"")</f>
        <v/>
      </c>
    </row>
    <row r="108" spans="1:14" ht="40.049999999999997" customHeight="1">
      <c r="A108" s="308"/>
      <c r="B108" s="305"/>
      <c r="C108" s="282"/>
      <c r="D108" s="282"/>
      <c r="E108" s="282"/>
      <c r="F108" s="282"/>
      <c r="G108" s="310" t="str">
        <f>IFERROR(VLOOKUP(C108,'Лист2 (2)'!$B$4:$D$31,2,0),"")</f>
        <v/>
      </c>
      <c r="H108" s="310"/>
      <c r="I108" s="310"/>
      <c r="J108" s="310"/>
      <c r="K108" s="310"/>
      <c r="L108" s="310"/>
      <c r="M108" s="310"/>
      <c r="N108" s="166" t="str">
        <f>IFERROR(VLOOKUP(C108,'Лист2 (2)'!$B$4:$D$31,3,0),"")</f>
        <v/>
      </c>
    </row>
    <row r="109" spans="1:14" ht="40.049999999999997" customHeight="1">
      <c r="A109" s="308"/>
      <c r="B109" s="305"/>
      <c r="C109" s="282"/>
      <c r="D109" s="282"/>
      <c r="E109" s="282"/>
      <c r="F109" s="282"/>
      <c r="G109" s="310" t="str">
        <f>IFERROR(VLOOKUP(C109,'Лист2 (2)'!$B$4:$D$31,2,0),"")</f>
        <v/>
      </c>
      <c r="H109" s="310"/>
      <c r="I109" s="310"/>
      <c r="J109" s="310"/>
      <c r="K109" s="310"/>
      <c r="L109" s="310"/>
      <c r="M109" s="310"/>
      <c r="N109" s="166" t="str">
        <f>IFERROR(VLOOKUP(C109,'Лист2 (2)'!$B$4:$D$31,3,0),"")</f>
        <v/>
      </c>
    </row>
    <row r="110" spans="1:14" ht="40.049999999999997" customHeight="1">
      <c r="A110" s="308"/>
      <c r="B110" s="305"/>
      <c r="C110" s="282"/>
      <c r="D110" s="282"/>
      <c r="E110" s="282"/>
      <c r="F110" s="282"/>
      <c r="G110" s="310" t="str">
        <f>IFERROR(VLOOKUP(C110,'Лист2 (2)'!$B$4:$D$31,2,0),"")</f>
        <v/>
      </c>
      <c r="H110" s="310"/>
      <c r="I110" s="310"/>
      <c r="J110" s="310"/>
      <c r="K110" s="310"/>
      <c r="L110" s="310"/>
      <c r="M110" s="310"/>
      <c r="N110" s="166" t="str">
        <f>IFERROR(VLOOKUP(C110,'Лист2 (2)'!$B$4:$D$31,3,0),"")</f>
        <v/>
      </c>
    </row>
    <row r="111" spans="1:14" ht="40.049999999999997" customHeight="1">
      <c r="A111" s="308"/>
      <c r="B111" s="305"/>
      <c r="C111" s="282"/>
      <c r="D111" s="282"/>
      <c r="E111" s="282"/>
      <c r="F111" s="282"/>
      <c r="G111" s="310" t="str">
        <f>IFERROR(VLOOKUP(C111,'Лист2 (2)'!$B$4:$D$31,2,0),"")</f>
        <v/>
      </c>
      <c r="H111" s="310"/>
      <c r="I111" s="310"/>
      <c r="J111" s="310"/>
      <c r="K111" s="310"/>
      <c r="L111" s="310"/>
      <c r="M111" s="310"/>
      <c r="N111" s="166" t="str">
        <f>IFERROR(VLOOKUP(C111,'Лист2 (2)'!$B$4:$D$31,3,0),"")</f>
        <v/>
      </c>
    </row>
    <row r="112" spans="1:14" ht="40.049999999999997" customHeight="1">
      <c r="A112" s="308"/>
      <c r="B112" s="305"/>
      <c r="C112" s="282"/>
      <c r="D112" s="282"/>
      <c r="E112" s="282"/>
      <c r="F112" s="282"/>
      <c r="G112" s="310" t="str">
        <f>IFERROR(VLOOKUP(C112,'Лист2 (2)'!$B$4:$D$31,2,0),"")</f>
        <v/>
      </c>
      <c r="H112" s="310"/>
      <c r="I112" s="310"/>
      <c r="J112" s="310"/>
      <c r="K112" s="310"/>
      <c r="L112" s="310"/>
      <c r="M112" s="310"/>
      <c r="N112" s="166" t="str">
        <f>IFERROR(VLOOKUP(C112,'Лист2 (2)'!$B$4:$D$31,3,0),"")</f>
        <v/>
      </c>
    </row>
    <row r="113" spans="1:14" ht="40.049999999999997" customHeight="1">
      <c r="A113" s="308"/>
      <c r="B113" s="305"/>
      <c r="C113" s="282"/>
      <c r="D113" s="282"/>
      <c r="E113" s="282"/>
      <c r="F113" s="282"/>
      <c r="G113" s="310" t="str">
        <f>IFERROR(VLOOKUP(C113,'Лист2 (2)'!$B$4:$D$31,2,0),"")</f>
        <v/>
      </c>
      <c r="H113" s="310"/>
      <c r="I113" s="310"/>
      <c r="J113" s="310"/>
      <c r="K113" s="310"/>
      <c r="L113" s="310"/>
      <c r="M113" s="310"/>
      <c r="N113" s="166" t="str">
        <f>IFERROR(VLOOKUP(C113,'Лист2 (2)'!$B$4:$D$31,3,0),"")</f>
        <v/>
      </c>
    </row>
    <row r="114" spans="1:14" ht="40.049999999999997" customHeight="1">
      <c r="A114" s="308"/>
      <c r="B114" s="305"/>
      <c r="C114" s="282"/>
      <c r="D114" s="282"/>
      <c r="E114" s="282"/>
      <c r="F114" s="282"/>
      <c r="G114" s="310" t="str">
        <f>IFERROR(VLOOKUP(C114,'Лист2 (2)'!$B$4:$D$31,2,0),"")</f>
        <v/>
      </c>
      <c r="H114" s="310"/>
      <c r="I114" s="310"/>
      <c r="J114" s="310"/>
      <c r="K114" s="310"/>
      <c r="L114" s="310"/>
      <c r="M114" s="310"/>
      <c r="N114" s="166" t="str">
        <f>IFERROR(VLOOKUP(C114,'Лист2 (2)'!$B$4:$D$31,3,0),"")</f>
        <v/>
      </c>
    </row>
    <row r="115" spans="1:14" ht="40.049999999999997" customHeight="1">
      <c r="A115" s="308"/>
      <c r="B115" s="305"/>
      <c r="C115" s="282"/>
      <c r="D115" s="282"/>
      <c r="E115" s="282"/>
      <c r="F115" s="282"/>
      <c r="G115" s="310" t="str">
        <f>IFERROR(VLOOKUP(C115,'Лист2 (2)'!$B$4:$D$31,2,0),"")</f>
        <v/>
      </c>
      <c r="H115" s="310"/>
      <c r="I115" s="310"/>
      <c r="J115" s="310"/>
      <c r="K115" s="310"/>
      <c r="L115" s="310"/>
      <c r="M115" s="310"/>
      <c r="N115" s="166" t="str">
        <f>IFERROR(VLOOKUP(C115,'Лист2 (2)'!$B$4:$D$31,3,0),"")</f>
        <v/>
      </c>
    </row>
    <row r="116" spans="1:14" ht="40.049999999999997" customHeight="1">
      <c r="A116" s="308"/>
      <c r="B116" s="305"/>
      <c r="C116" s="282"/>
      <c r="D116" s="282"/>
      <c r="E116" s="282"/>
      <c r="F116" s="282"/>
      <c r="G116" s="310" t="str">
        <f>IFERROR(VLOOKUP(C116,'Лист2 (2)'!$B$4:$D$31,2,0),"")</f>
        <v/>
      </c>
      <c r="H116" s="310"/>
      <c r="I116" s="310"/>
      <c r="J116" s="310"/>
      <c r="K116" s="310"/>
      <c r="L116" s="310"/>
      <c r="M116" s="310"/>
      <c r="N116" s="166" t="str">
        <f>IFERROR(VLOOKUP(C116,'Лист2 (2)'!$B$4:$D$31,3,0),"")</f>
        <v/>
      </c>
    </row>
    <row r="117" spans="1:14" ht="40.049999999999997" customHeight="1">
      <c r="A117" s="308"/>
      <c r="B117" s="305"/>
      <c r="C117" s="282"/>
      <c r="D117" s="282"/>
      <c r="E117" s="282"/>
      <c r="F117" s="282"/>
      <c r="G117" s="310" t="str">
        <f>IFERROR(VLOOKUP(C117,'Лист2 (2)'!$B$4:$D$31,2,0),"")</f>
        <v/>
      </c>
      <c r="H117" s="310"/>
      <c r="I117" s="310"/>
      <c r="J117" s="310"/>
      <c r="K117" s="310"/>
      <c r="L117" s="310"/>
      <c r="M117" s="310"/>
      <c r="N117" s="166" t="str">
        <f>IFERROR(VLOOKUP(C117,'Лист2 (2)'!$B$4:$D$31,3,0),"")</f>
        <v/>
      </c>
    </row>
    <row r="118" spans="1:14" ht="40.049999999999997" customHeight="1">
      <c r="A118" s="308"/>
      <c r="B118" s="305"/>
      <c r="C118" s="282"/>
      <c r="D118" s="282"/>
      <c r="E118" s="282"/>
      <c r="F118" s="282"/>
      <c r="G118" s="310" t="str">
        <f>IFERROR(VLOOKUP(C118,'Лист2 (2)'!$B$4:$D$31,2,0),"")</f>
        <v/>
      </c>
      <c r="H118" s="310"/>
      <c r="I118" s="310"/>
      <c r="J118" s="310"/>
      <c r="K118" s="310"/>
      <c r="L118" s="310"/>
      <c r="M118" s="310"/>
      <c r="N118" s="166" t="str">
        <f>IFERROR(VLOOKUP(C118,'Лист2 (2)'!$B$4:$D$31,3,0),"")</f>
        <v/>
      </c>
    </row>
    <row r="119" spans="1:14" ht="40.049999999999997" customHeight="1">
      <c r="A119" s="308"/>
      <c r="B119" s="305"/>
      <c r="C119" s="282"/>
      <c r="D119" s="282"/>
      <c r="E119" s="282"/>
      <c r="F119" s="282"/>
      <c r="G119" s="310" t="str">
        <f>IFERROR(VLOOKUP(C119,'Лист2 (2)'!$B$4:$D$31,2,0),"")</f>
        <v/>
      </c>
      <c r="H119" s="310"/>
      <c r="I119" s="310"/>
      <c r="J119" s="310"/>
      <c r="K119" s="310"/>
      <c r="L119" s="310"/>
      <c r="M119" s="310"/>
      <c r="N119" s="166" t="str">
        <f>IFERROR(VLOOKUP(C119,'Лист2 (2)'!$B$4:$D$31,3,0),"")</f>
        <v/>
      </c>
    </row>
    <row r="120" spans="1:14" ht="40.049999999999997" customHeight="1">
      <c r="A120" s="308"/>
      <c r="B120" s="305"/>
      <c r="C120" s="282"/>
      <c r="D120" s="282"/>
      <c r="E120" s="282"/>
      <c r="F120" s="282"/>
      <c r="G120" s="310" t="str">
        <f>IFERROR(VLOOKUP(C120,'Лист2 (2)'!$B$4:$D$31,2,0),"")</f>
        <v/>
      </c>
      <c r="H120" s="310"/>
      <c r="I120" s="310"/>
      <c r="J120" s="310"/>
      <c r="K120" s="310"/>
      <c r="L120" s="310"/>
      <c r="M120" s="310"/>
      <c r="N120" s="166" t="str">
        <f>IFERROR(VLOOKUP(C120,'Лист2 (2)'!$B$4:$D$31,3,0),"")</f>
        <v/>
      </c>
    </row>
    <row r="121" spans="1:14" ht="40.049999999999997" customHeight="1">
      <c r="A121" s="308"/>
      <c r="B121" s="305"/>
      <c r="C121" s="282"/>
      <c r="D121" s="282"/>
      <c r="E121" s="282"/>
      <c r="F121" s="282"/>
      <c r="G121" s="310" t="str">
        <f>IFERROR(VLOOKUP(C121,'Лист2 (2)'!$B$4:$D$31,2,0),"")</f>
        <v/>
      </c>
      <c r="H121" s="310"/>
      <c r="I121" s="310"/>
      <c r="J121" s="310"/>
      <c r="K121" s="310"/>
      <c r="L121" s="310"/>
      <c r="M121" s="310"/>
      <c r="N121" s="166" t="str">
        <f>IFERROR(VLOOKUP(C121,'Лист2 (2)'!$B$4:$D$31,3,0),"")</f>
        <v/>
      </c>
    </row>
    <row r="122" spans="1:14" ht="40.049999999999997" customHeight="1" thickBot="1">
      <c r="A122" s="309"/>
      <c r="B122" s="306"/>
      <c r="C122" s="283"/>
      <c r="D122" s="283"/>
      <c r="E122" s="283"/>
      <c r="F122" s="283"/>
      <c r="G122" s="311" t="str">
        <f>IFERROR(VLOOKUP(C122,'Лист2 (2)'!$B$4:$D$31,2,0),"")</f>
        <v/>
      </c>
      <c r="H122" s="311"/>
      <c r="I122" s="311"/>
      <c r="J122" s="311"/>
      <c r="K122" s="311"/>
      <c r="L122" s="311"/>
      <c r="M122" s="311"/>
      <c r="N122" s="168" t="str">
        <f>IFERROR(VLOOKUP(C122,'Лист2 (2)'!$B$4:$D$31,3,0),"")</f>
        <v/>
      </c>
    </row>
    <row r="123" spans="1:14" ht="14.4" thickTop="1"/>
  </sheetData>
  <mergeCells count="114">
    <mergeCell ref="B105:B122"/>
    <mergeCell ref="A105:A122"/>
    <mergeCell ref="G105:M105"/>
    <mergeCell ref="G106:M106"/>
    <mergeCell ref="G107:M107"/>
    <mergeCell ref="G108:M108"/>
    <mergeCell ref="G109:M109"/>
    <mergeCell ref="G110:M110"/>
    <mergeCell ref="G111:M111"/>
    <mergeCell ref="G112:M112"/>
    <mergeCell ref="G113:M113"/>
    <mergeCell ref="G114:M114"/>
    <mergeCell ref="G115:M115"/>
    <mergeCell ref="G116:M116"/>
    <mergeCell ref="G117:M117"/>
    <mergeCell ref="G118:M118"/>
    <mergeCell ref="G119:M119"/>
    <mergeCell ref="G120:M120"/>
    <mergeCell ref="G121:M121"/>
    <mergeCell ref="G122:M122"/>
    <mergeCell ref="C105:F105"/>
    <mergeCell ref="C106:F106"/>
    <mergeCell ref="C107:F107"/>
    <mergeCell ref="C108:F108"/>
    <mergeCell ref="C118:F118"/>
    <mergeCell ref="C119:F119"/>
    <mergeCell ref="C120:F120"/>
    <mergeCell ref="C121:F121"/>
    <mergeCell ref="C122:F122"/>
    <mergeCell ref="A103:N103"/>
    <mergeCell ref="A98:N98"/>
    <mergeCell ref="A99:A101"/>
    <mergeCell ref="B99:B101"/>
    <mergeCell ref="C99:D101"/>
    <mergeCell ref="E99:F101"/>
    <mergeCell ref="G99:H101"/>
    <mergeCell ref="I99:J101"/>
    <mergeCell ref="K99:L101"/>
    <mergeCell ref="M99:N101"/>
    <mergeCell ref="C109:F109"/>
    <mergeCell ref="C110:F110"/>
    <mergeCell ref="C111:F111"/>
    <mergeCell ref="C112:F112"/>
    <mergeCell ref="C113:F113"/>
    <mergeCell ref="C114:F114"/>
    <mergeCell ref="C115:F115"/>
    <mergeCell ref="C116:F116"/>
    <mergeCell ref="C117:F117"/>
    <mergeCell ref="A91:A93"/>
    <mergeCell ref="I87:M87"/>
    <mergeCell ref="A94:A95"/>
    <mergeCell ref="G94:H96"/>
    <mergeCell ref="I94:J96"/>
    <mergeCell ref="A96:A97"/>
    <mergeCell ref="A82:A83"/>
    <mergeCell ref="A86:A87"/>
    <mergeCell ref="A88:A89"/>
    <mergeCell ref="I84:M84"/>
    <mergeCell ref="I85:M85"/>
    <mergeCell ref="I86:M86"/>
    <mergeCell ref="A50:N50"/>
    <mergeCell ref="A32:A33"/>
    <mergeCell ref="A34:A35"/>
    <mergeCell ref="A36:A37"/>
    <mergeCell ref="B36:B37"/>
    <mergeCell ref="A38:A39"/>
    <mergeCell ref="B38:B39"/>
    <mergeCell ref="A40:A41"/>
    <mergeCell ref="B40:B41"/>
    <mergeCell ref="A42:A44"/>
    <mergeCell ref="A45:A46"/>
    <mergeCell ref="B45:B46"/>
    <mergeCell ref="A80:A81"/>
    <mergeCell ref="B82:B83"/>
    <mergeCell ref="A51:A56"/>
    <mergeCell ref="B51:C51"/>
    <mergeCell ref="A57:A58"/>
    <mergeCell ref="A65:A66"/>
    <mergeCell ref="B65:B66"/>
    <mergeCell ref="C65:G66"/>
    <mergeCell ref="A59:A64"/>
    <mergeCell ref="A67:N67"/>
    <mergeCell ref="B68:G68"/>
    <mergeCell ref="B69:B71"/>
    <mergeCell ref="C69:D70"/>
    <mergeCell ref="E69:G69"/>
    <mergeCell ref="H69:H71"/>
    <mergeCell ref="I69:I71"/>
    <mergeCell ref="A69:A79"/>
    <mergeCell ref="J69:J71"/>
    <mergeCell ref="C104:F104"/>
    <mergeCell ref="G104:M104"/>
    <mergeCell ref="A104:B104"/>
    <mergeCell ref="A17:N17"/>
    <mergeCell ref="B18:H18"/>
    <mergeCell ref="C19:D20"/>
    <mergeCell ref="E19:G19"/>
    <mergeCell ref="H19:H21"/>
    <mergeCell ref="A1:I1"/>
    <mergeCell ref="J1:N1"/>
    <mergeCell ref="A2:N2"/>
    <mergeCell ref="A3:N3"/>
    <mergeCell ref="C4:N4"/>
    <mergeCell ref="C5:N5"/>
    <mergeCell ref="C6:N6"/>
    <mergeCell ref="E7:K9"/>
    <mergeCell ref="C12:N12"/>
    <mergeCell ref="B19:B21"/>
    <mergeCell ref="A19:A29"/>
    <mergeCell ref="I19:I21"/>
    <mergeCell ref="J19:J21"/>
    <mergeCell ref="A30:A31"/>
    <mergeCell ref="F30:N30"/>
    <mergeCell ref="F31:N31"/>
  </mergeCells>
  <dataValidations count="2">
    <dataValidation type="list" allowBlank="1" showInputMessage="1" showErrorMessage="1" errorTitle="Значение из списка" sqref="C65">
      <formula1>$V$4:$V$9</formula1>
    </dataValidation>
    <dataValidation type="textLength" allowBlank="1" showInputMessage="1" showErrorMessage="1" errorTitle="нет" sqref="A96:E97">
      <formula1>1</formula1>
      <formula2>1</formula2>
    </dataValidation>
  </dataValidations>
  <pageMargins left="0.75" right="0.75" top="1" bottom="1" header="0.5" footer="0.5"/>
  <pageSetup paperSize="9" scale="50" orientation="portrait" r:id="rId1"/>
  <headerFooter alignWithMargins="0"/>
  <colBreaks count="1" manualBreakCount="1">
    <brk id="14" max="1048575" man="1"/>
  </colBreaks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Выбрать из списка">
          <x14:formula1>
            <xm:f>Лист2!$A$1:$A$8</xm:f>
          </x14:formula1>
          <xm:sqref>C99:N101</xm:sqref>
        </x14:dataValidation>
        <x14:dataValidation type="list" allowBlank="1" showInputMessage="1" showErrorMessage="1" errorTitle="Выбери из списка">
          <x14:formula1>
            <xm:f>'Лист2 (2)'!$B$4:$B$31</xm:f>
          </x14:formula1>
          <xm:sqref>C105:F122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0"/>
  <sheetViews>
    <sheetView workbookViewId="0">
      <selection activeCell="C10" sqref="C10"/>
    </sheetView>
  </sheetViews>
  <sheetFormatPr defaultColWidth="9.109375" defaultRowHeight="14.4"/>
  <cols>
    <col min="1" max="1" width="9.109375" style="140"/>
    <col min="2" max="2" width="51.44140625" style="140" bestFit="1" customWidth="1"/>
    <col min="3" max="3" width="108.6640625" style="140" customWidth="1"/>
    <col min="4" max="4" width="13.109375" style="140" customWidth="1"/>
    <col min="5" max="5" width="19.6640625" style="140" customWidth="1"/>
    <col min="6" max="16384" width="9.109375" style="140"/>
  </cols>
  <sheetData>
    <row r="1" spans="2:4" ht="15" thickBot="1"/>
    <row r="2" spans="2:4" ht="27" thickBot="1">
      <c r="B2" s="141" t="s">
        <v>135</v>
      </c>
      <c r="C2" s="142" t="s">
        <v>136</v>
      </c>
      <c r="D2" s="143" t="s">
        <v>137</v>
      </c>
    </row>
    <row r="3" spans="2:4" ht="15" thickTop="1">
      <c r="B3" s="165"/>
      <c r="C3" s="165"/>
      <c r="D3" s="144"/>
    </row>
    <row r="4" spans="2:4" ht="26.4">
      <c r="B4" s="145" t="s">
        <v>138</v>
      </c>
      <c r="C4" s="146" t="s">
        <v>139</v>
      </c>
      <c r="D4" s="147" t="s">
        <v>140</v>
      </c>
    </row>
    <row r="5" spans="2:4" ht="26.4">
      <c r="B5" s="148" t="s">
        <v>141</v>
      </c>
      <c r="C5" s="149" t="s">
        <v>142</v>
      </c>
      <c r="D5" s="150" t="s">
        <v>140</v>
      </c>
    </row>
    <row r="6" spans="2:4" ht="26.4">
      <c r="B6" s="148" t="s">
        <v>143</v>
      </c>
      <c r="C6" s="151" t="s">
        <v>144</v>
      </c>
      <c r="D6" s="152" t="s">
        <v>145</v>
      </c>
    </row>
    <row r="7" spans="2:4" ht="28.8">
      <c r="B7" s="148" t="s">
        <v>146</v>
      </c>
      <c r="C7" s="153" t="s">
        <v>147</v>
      </c>
      <c r="D7" s="152" t="s">
        <v>145</v>
      </c>
    </row>
    <row r="8" spans="2:4" ht="26.4">
      <c r="B8" s="148" t="s">
        <v>148</v>
      </c>
      <c r="C8" s="151" t="s">
        <v>149</v>
      </c>
      <c r="D8" s="152" t="s">
        <v>145</v>
      </c>
    </row>
    <row r="9" spans="2:4">
      <c r="B9" s="148" t="s">
        <v>150</v>
      </c>
      <c r="C9" s="151" t="s">
        <v>151</v>
      </c>
      <c r="D9" s="152" t="s">
        <v>152</v>
      </c>
    </row>
    <row r="10" spans="2:4">
      <c r="B10" s="148" t="s">
        <v>153</v>
      </c>
      <c r="C10" s="154" t="s">
        <v>154</v>
      </c>
      <c r="D10" s="155" t="s">
        <v>155</v>
      </c>
    </row>
    <row r="11" spans="2:4">
      <c r="B11" s="156" t="s">
        <v>156</v>
      </c>
      <c r="C11" s="157" t="s">
        <v>157</v>
      </c>
      <c r="D11" s="152" t="s">
        <v>155</v>
      </c>
    </row>
    <row r="12" spans="2:4">
      <c r="B12" s="158" t="s">
        <v>158</v>
      </c>
      <c r="C12" s="149" t="s">
        <v>159</v>
      </c>
      <c r="D12" s="150" t="s">
        <v>152</v>
      </c>
    </row>
    <row r="13" spans="2:4" ht="26.4">
      <c r="B13" s="156" t="s">
        <v>160</v>
      </c>
      <c r="C13" s="151" t="s">
        <v>161</v>
      </c>
      <c r="D13" s="152" t="s">
        <v>145</v>
      </c>
    </row>
    <row r="14" spans="2:4" ht="26.4">
      <c r="B14" s="159" t="s">
        <v>162</v>
      </c>
      <c r="C14" s="151" t="s">
        <v>163</v>
      </c>
      <c r="D14" s="152" t="s">
        <v>140</v>
      </c>
    </row>
    <row r="15" spans="2:4">
      <c r="B15" s="167" t="s">
        <v>164</v>
      </c>
      <c r="C15" s="151" t="s">
        <v>163</v>
      </c>
      <c r="D15" s="152" t="s">
        <v>155</v>
      </c>
    </row>
    <row r="16" spans="2:4" ht="26.4">
      <c r="B16" s="160" t="s">
        <v>165</v>
      </c>
      <c r="C16" s="154" t="s">
        <v>166</v>
      </c>
      <c r="D16" s="161" t="s">
        <v>140</v>
      </c>
    </row>
    <row r="17" spans="2:4" ht="26.4">
      <c r="B17" s="156" t="s">
        <v>167</v>
      </c>
      <c r="C17" s="154" t="s">
        <v>166</v>
      </c>
      <c r="D17" s="155" t="s">
        <v>140</v>
      </c>
    </row>
    <row r="18" spans="2:4" ht="26.4">
      <c r="B18" s="159" t="s">
        <v>168</v>
      </c>
      <c r="C18" s="151" t="s">
        <v>169</v>
      </c>
      <c r="D18" s="152" t="s">
        <v>145</v>
      </c>
    </row>
    <row r="19" spans="2:4" ht="15" thickBot="1">
      <c r="B19" s="162" t="s">
        <v>170</v>
      </c>
      <c r="C19" s="163" t="s">
        <v>166</v>
      </c>
      <c r="D19" s="164" t="s">
        <v>155</v>
      </c>
    </row>
    <row r="20" spans="2:4" ht="15" thickTop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showGridLines="0" workbookViewId="0">
      <selection activeCell="A4" sqref="A4"/>
    </sheetView>
  </sheetViews>
  <sheetFormatPr defaultRowHeight="14.4"/>
  <cols>
    <col min="1" max="1" width="9.109375" style="100"/>
  </cols>
  <sheetData>
    <row r="1" spans="1:1" ht="15.6">
      <c r="A1" s="99" t="s">
        <v>115</v>
      </c>
    </row>
    <row r="2" spans="1:1" ht="15.6">
      <c r="A2" s="99" t="s">
        <v>119</v>
      </c>
    </row>
    <row r="3" spans="1:1" ht="15.6">
      <c r="A3" s="99" t="s">
        <v>114</v>
      </c>
    </row>
    <row r="4" spans="1:1" ht="15.6">
      <c r="A4" s="99" t="s">
        <v>124</v>
      </c>
    </row>
    <row r="5" spans="1:1" ht="15.6">
      <c r="A5" s="99" t="s">
        <v>116</v>
      </c>
    </row>
    <row r="6" spans="1:1" ht="15.6">
      <c r="A6" s="99" t="s">
        <v>117</v>
      </c>
    </row>
    <row r="7" spans="1:1" ht="15.6">
      <c r="A7" s="99" t="s">
        <v>118</v>
      </c>
    </row>
    <row r="8" spans="1:1">
      <c r="A8" s="100" t="s">
        <v>113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 опроса</vt:lpstr>
      <vt:lpstr>Лист2 (2)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Макаров Никита</dc:creator>
  <cp:lastModifiedBy>Берестова Дарья</cp:lastModifiedBy>
  <dcterms:created xsi:type="dcterms:W3CDTF">2024-12-10T07:25:42Z</dcterms:created>
  <dcterms:modified xsi:type="dcterms:W3CDTF">2025-04-10T08:42:13Z</dcterms:modified>
</cp:coreProperties>
</file>