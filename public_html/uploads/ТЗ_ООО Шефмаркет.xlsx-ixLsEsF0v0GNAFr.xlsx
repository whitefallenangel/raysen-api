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378\Downloads\"/>
    </mc:Choice>
  </mc:AlternateContent>
  <xr:revisionPtr revIDLastSave="0" documentId="13_ncr:1_{0F27545F-846F-4153-8931-779D051D8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З" sheetId="1" r:id="rId1"/>
  </sheets>
  <definedNames>
    <definedName name="_xlnm._FilterDatabase" localSheetId="0" hidden="1">ТЗ!$A$1:$G$45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42" i="1" s="1"/>
</calcChain>
</file>

<file path=xl/sharedStrings.xml><?xml version="1.0" encoding="utf-8"?>
<sst xmlns="http://schemas.openxmlformats.org/spreadsheetml/2006/main" count="91" uniqueCount="57">
  <si>
    <t>№</t>
  </si>
  <si>
    <t>Категория</t>
  </si>
  <si>
    <t>Параметры оцениваем как да - 3, прочие - 1</t>
  </si>
  <si>
    <t>Важность (коэфф-т)</t>
  </si>
  <si>
    <t>Факт</t>
  </si>
  <si>
    <t>Оценка</t>
  </si>
  <si>
    <t>Доп. Инф.</t>
  </si>
  <si>
    <t>Логистика</t>
  </si>
  <si>
    <t>Координаты расположения: район, адрес - ЮГ (преимущественно район царицино - бирюлево (кроме UWС)</t>
  </si>
  <si>
    <t>Общая площадь кв.м от 1500 до 3000 кв.м</t>
  </si>
  <si>
    <t>Площадь одного, одетльного помещения 1эт. - не менее 800 кв. м. (под сборку)</t>
  </si>
  <si>
    <t>Площадь парковки от 300 кв.м (цена парковки)</t>
  </si>
  <si>
    <t xml:space="preserve">Близость к транспортным развязкам </t>
  </si>
  <si>
    <t xml:space="preserve">Кол во подъездов, ворота докового типа </t>
  </si>
  <si>
    <t xml:space="preserve">Возможность организации поточной сборки </t>
  </si>
  <si>
    <t xml:space="preserve">Вход / исход логистика - 2 входа </t>
  </si>
  <si>
    <t xml:space="preserve">Наличие пандуса </t>
  </si>
  <si>
    <t xml:space="preserve">Кол-во этажей здания, помещение под офис? </t>
  </si>
  <si>
    <t>Близость к транспорту</t>
  </si>
  <si>
    <t>Развитость внутренней логистики комплекса? Шлагбаумы, развязки, широкие дороги</t>
  </si>
  <si>
    <t>Инженерия</t>
  </si>
  <si>
    <t xml:space="preserve">Электро мощность КВт от 200 КВт </t>
  </si>
  <si>
    <t xml:space="preserve">Водоснабжение (горячая холодная вода) </t>
  </si>
  <si>
    <t xml:space="preserve">Водоотведение канализация </t>
  </si>
  <si>
    <t xml:space="preserve">Интернет правйдеры </t>
  </si>
  <si>
    <t xml:space="preserve">Теплоснабжение </t>
  </si>
  <si>
    <t xml:space="preserve">Система вентиляции и кондиционирования (приточно-вытяжная вентиляция с теплообменником) </t>
  </si>
  <si>
    <t xml:space="preserve">Площадка по вывоз мусора и пищевых отходов </t>
  </si>
  <si>
    <t>Прочие</t>
  </si>
  <si>
    <t>Высота потолков от 4 метров</t>
  </si>
  <si>
    <t>Форма помещения (в идеале прямоугольник, допустимо - квадрат)</t>
  </si>
  <si>
    <t xml:space="preserve">Возможность доведения чистоты до норм санпина </t>
  </si>
  <si>
    <t xml:space="preserve">Возможность поддержания температурного режима </t>
  </si>
  <si>
    <t xml:space="preserve">Возможность работы 24 часа /7 дней в неделю /365 дней в год </t>
  </si>
  <si>
    <t>Тип строения (бетон***, кирпич***, сталь*)</t>
  </si>
  <si>
    <t xml:space="preserve">Было раньше пищевое производство </t>
  </si>
  <si>
    <t xml:space="preserve">Охраняемая территория </t>
  </si>
  <si>
    <t xml:space="preserve">Расстояние между несущими колоннами от 6м </t>
  </si>
  <si>
    <t xml:space="preserve">Код деятельности экс арендатора - пищевка </t>
  </si>
  <si>
    <t>Развитость инфраструктуры территории при объекте? Кафе, чисто*** нет</t>
  </si>
  <si>
    <t>Ремонт</t>
  </si>
  <si>
    <t>Возможность возведения перегородок, укладка плитк да *** нет*</t>
  </si>
  <si>
    <t>Неотъемлемые улучшение в счет аренды да***нет*</t>
  </si>
  <si>
    <t>Офис</t>
  </si>
  <si>
    <t>Офис от 400 кв.метров? Класс В***нет*</t>
  </si>
  <si>
    <t>Фин</t>
  </si>
  <si>
    <t>Статус арендодателя (собственник \ суб) да *** нет*</t>
  </si>
  <si>
    <t>С НДС ? Да *** нет*</t>
  </si>
  <si>
    <t>Ставка аренды руб. за кв.м/год *** &gt;*</t>
  </si>
  <si>
    <t>Срок договора аренды от 36 мес ***</t>
  </si>
  <si>
    <t>Доп коммунальные расходы, помимо электрики, воды, отопления - да * нет ***</t>
  </si>
  <si>
    <t xml:space="preserve">Отсрочка платежа по договору аренды - </t>
  </si>
  <si>
    <t>Статус технопарка. позволяющая вычитать налоги? Да***нет*</t>
  </si>
  <si>
    <t>Итого</t>
  </si>
  <si>
    <t>Максимум</t>
  </si>
  <si>
    <t>*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</si>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</sst>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252525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rgb="FF252525"/>
      <name val="Arial"/>
    </font>
    <font>
      <b/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4" fillId="2" borderId="0" xfId="0" applyFont="1" applyFill="1" applyAlignment="1">
      <alignment horizontal="center"/>
    </xf>
    <xf numFmtId="0" fontId="6" fillId="0" borderId="0" xfId="0" applyFont="1" applyAlignment="1"/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4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2.5703125" defaultRowHeight="15.75" customHeight="1" x14ac:dyDescent="0.2"/>
  <cols>
    <col min="1" max="1" width="7.28515625" customWidth="1"/>
    <col min="2" max="2" width="11.85546875" customWidth="1"/>
    <col min="3" max="3" width="75.42578125" customWidth="1"/>
    <col min="4" max="4" width="16.7109375" hidden="1" customWidth="1"/>
    <col min="5" max="5" width="8.28515625" hidden="1" customWidth="1"/>
    <col min="6" max="6" width="7.85546875" hidden="1" customWidth="1"/>
    <col min="7" max="7" width="47.7109375" customWidth="1"/>
  </cols>
  <sheetData>
    <row r="1" spans="1:28" ht="32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3.25" customHeight="1" x14ac:dyDescent="0.2">
      <c r="A2" s="4">
        <v>1</v>
      </c>
      <c r="B2" s="5" t="s">
        <v>7</v>
      </c>
      <c r="C2" s="6" t="s">
        <v>8</v>
      </c>
      <c r="D2" s="4">
        <v>3</v>
      </c>
      <c r="E2" s="7"/>
      <c r="F2" s="8">
        <f t="shared" ref="F2:F41" si="0">D2*E2</f>
        <v>0</v>
      </c>
      <c r="G2" s="8"/>
    </row>
    <row r="3" spans="1:28" ht="15.75" customHeight="1" x14ac:dyDescent="0.2">
      <c r="A3" s="4">
        <v>2</v>
      </c>
      <c r="B3" s="5" t="s">
        <v>7</v>
      </c>
      <c r="C3" s="9" t="s">
        <v>9</v>
      </c>
      <c r="D3" s="4">
        <v>2</v>
      </c>
      <c r="E3" s="10"/>
      <c r="F3" s="8">
        <f t="shared" si="0"/>
        <v>0</v>
      </c>
      <c r="G3" s="8"/>
    </row>
    <row r="4" spans="1:28" ht="15.75" customHeight="1" x14ac:dyDescent="0.2">
      <c r="A4" s="4">
        <v>3</v>
      </c>
      <c r="B4" s="5" t="s">
        <v>7</v>
      </c>
      <c r="C4" s="9" t="s">
        <v>10</v>
      </c>
      <c r="D4" s="4">
        <v>3</v>
      </c>
      <c r="E4" s="10"/>
      <c r="F4" s="8">
        <f t="shared" si="0"/>
        <v>0</v>
      </c>
      <c r="G4" s="8"/>
    </row>
    <row r="5" spans="1:28" ht="15.75" customHeight="1" x14ac:dyDescent="0.2">
      <c r="A5" s="4">
        <v>11</v>
      </c>
      <c r="B5" s="5" t="s">
        <v>7</v>
      </c>
      <c r="C5" s="5" t="s">
        <v>11</v>
      </c>
      <c r="D5" s="4">
        <v>3</v>
      </c>
      <c r="E5" s="10"/>
      <c r="F5" s="8">
        <f t="shared" si="0"/>
        <v>0</v>
      </c>
      <c r="G5" s="8"/>
    </row>
    <row r="6" spans="1:28" ht="15.75" customHeight="1" x14ac:dyDescent="0.2">
      <c r="A6" s="4">
        <v>12</v>
      </c>
      <c r="B6" s="5" t="s">
        <v>7</v>
      </c>
      <c r="C6" s="5" t="s">
        <v>12</v>
      </c>
      <c r="D6" s="4">
        <v>2</v>
      </c>
      <c r="E6" s="10"/>
      <c r="F6" s="8">
        <f t="shared" si="0"/>
        <v>0</v>
      </c>
      <c r="G6" s="8"/>
    </row>
    <row r="7" spans="1:28" ht="15.75" customHeight="1" x14ac:dyDescent="0.2">
      <c r="A7" s="4">
        <v>13</v>
      </c>
      <c r="B7" s="5" t="s">
        <v>7</v>
      </c>
      <c r="C7" s="5" t="s">
        <v>13</v>
      </c>
      <c r="D7" s="4">
        <v>2</v>
      </c>
      <c r="E7" s="10"/>
      <c r="F7" s="8">
        <f t="shared" si="0"/>
        <v>0</v>
      </c>
      <c r="G7" s="8"/>
    </row>
    <row r="8" spans="1:28" ht="15.75" customHeight="1" x14ac:dyDescent="0.2">
      <c r="A8" s="4">
        <v>14</v>
      </c>
      <c r="B8" s="5" t="s">
        <v>7</v>
      </c>
      <c r="C8" s="5" t="s">
        <v>14</v>
      </c>
      <c r="D8" s="4">
        <v>3</v>
      </c>
      <c r="E8" s="10"/>
      <c r="F8" s="8">
        <f t="shared" si="0"/>
        <v>0</v>
      </c>
      <c r="G8" s="8"/>
    </row>
    <row r="9" spans="1:28" ht="15.75" customHeight="1" x14ac:dyDescent="0.2">
      <c r="A9" s="4">
        <v>15</v>
      </c>
      <c r="B9" s="5" t="s">
        <v>7</v>
      </c>
      <c r="C9" s="5" t="s">
        <v>15</v>
      </c>
      <c r="D9" s="4">
        <v>3</v>
      </c>
      <c r="E9" s="10"/>
      <c r="F9" s="8">
        <f t="shared" si="0"/>
        <v>0</v>
      </c>
      <c r="G9" s="8"/>
    </row>
    <row r="10" spans="1:28" ht="15.75" customHeight="1" x14ac:dyDescent="0.2">
      <c r="A10" s="4">
        <v>16</v>
      </c>
      <c r="B10" s="5" t="s">
        <v>7</v>
      </c>
      <c r="C10" s="5" t="s">
        <v>16</v>
      </c>
      <c r="D10" s="4">
        <v>3</v>
      </c>
      <c r="E10" s="10"/>
      <c r="F10" s="8">
        <f t="shared" si="0"/>
        <v>0</v>
      </c>
      <c r="G10" s="8"/>
    </row>
    <row r="11" spans="1:28" ht="15.75" customHeight="1" x14ac:dyDescent="0.2">
      <c r="A11" s="4">
        <v>17</v>
      </c>
      <c r="B11" s="5" t="s">
        <v>7</v>
      </c>
      <c r="C11" s="5" t="s">
        <v>17</v>
      </c>
      <c r="D11" s="4">
        <v>1</v>
      </c>
      <c r="E11" s="10"/>
      <c r="F11" s="8">
        <f t="shared" si="0"/>
        <v>0</v>
      </c>
      <c r="G11" s="8"/>
    </row>
    <row r="12" spans="1:28" ht="15.75" customHeight="1" x14ac:dyDescent="0.2">
      <c r="A12" s="4">
        <v>18</v>
      </c>
      <c r="B12" s="5" t="s">
        <v>7</v>
      </c>
      <c r="C12" s="5" t="s">
        <v>18</v>
      </c>
      <c r="D12" s="4">
        <v>2</v>
      </c>
      <c r="E12" s="10"/>
      <c r="F12" s="8">
        <f t="shared" si="0"/>
        <v>0</v>
      </c>
      <c r="G12" s="8"/>
    </row>
    <row r="13" spans="1:28" ht="15.75" customHeight="1" x14ac:dyDescent="0.2">
      <c r="A13" s="4">
        <v>19</v>
      </c>
      <c r="B13" s="5" t="s">
        <v>7</v>
      </c>
      <c r="C13" s="5" t="s">
        <v>19</v>
      </c>
      <c r="D13" s="4">
        <v>2</v>
      </c>
      <c r="E13" s="10"/>
      <c r="F13" s="8">
        <f t="shared" si="0"/>
        <v>0</v>
      </c>
      <c r="G13" s="8"/>
    </row>
    <row r="14" spans="1:28" ht="15.75" customHeight="1" x14ac:dyDescent="0.2">
      <c r="A14" s="4">
        <v>4</v>
      </c>
      <c r="B14" s="5" t="s">
        <v>20</v>
      </c>
      <c r="C14" s="11" t="s">
        <v>21</v>
      </c>
      <c r="D14" s="4">
        <v>3</v>
      </c>
      <c r="E14" s="10"/>
      <c r="F14" s="8">
        <f t="shared" si="0"/>
        <v>0</v>
      </c>
      <c r="G14" s="8"/>
    </row>
    <row r="15" spans="1:28" ht="15.75" customHeight="1" x14ac:dyDescent="0.2">
      <c r="A15" s="4">
        <v>5</v>
      </c>
      <c r="B15" s="5" t="s">
        <v>20</v>
      </c>
      <c r="C15" s="11" t="s">
        <v>22</v>
      </c>
      <c r="D15" s="4">
        <v>2</v>
      </c>
      <c r="E15" s="10"/>
      <c r="F15" s="8">
        <f t="shared" si="0"/>
        <v>0</v>
      </c>
      <c r="G15" s="8"/>
    </row>
    <row r="16" spans="1:28" ht="15.75" customHeight="1" x14ac:dyDescent="0.2">
      <c r="A16" s="4">
        <v>6</v>
      </c>
      <c r="B16" s="5" t="s">
        <v>20</v>
      </c>
      <c r="C16" s="11" t="s">
        <v>23</v>
      </c>
      <c r="D16" s="4">
        <v>3</v>
      </c>
      <c r="E16" s="10"/>
      <c r="F16" s="8">
        <f t="shared" si="0"/>
        <v>0</v>
      </c>
      <c r="G16" s="8"/>
    </row>
    <row r="17" spans="1:7" ht="15.75" customHeight="1" x14ac:dyDescent="0.2">
      <c r="A17" s="4">
        <v>7</v>
      </c>
      <c r="B17" s="5" t="s">
        <v>20</v>
      </c>
      <c r="C17" s="11" t="s">
        <v>24</v>
      </c>
      <c r="D17" s="4">
        <v>3</v>
      </c>
      <c r="E17" s="10"/>
      <c r="F17" s="8">
        <f t="shared" si="0"/>
        <v>0</v>
      </c>
      <c r="G17" s="8"/>
    </row>
    <row r="18" spans="1:7" ht="15.75" customHeight="1" x14ac:dyDescent="0.2">
      <c r="A18" s="4">
        <v>8</v>
      </c>
      <c r="B18" s="5" t="s">
        <v>20</v>
      </c>
      <c r="C18" s="11" t="s">
        <v>25</v>
      </c>
      <c r="D18" s="4">
        <v>2</v>
      </c>
      <c r="E18" s="10"/>
      <c r="F18" s="8">
        <f t="shared" si="0"/>
        <v>0</v>
      </c>
      <c r="G18" s="8"/>
    </row>
    <row r="19" spans="1:7" ht="15.75" customHeight="1" x14ac:dyDescent="0.2">
      <c r="A19" s="4">
        <v>9</v>
      </c>
      <c r="B19" s="5" t="s">
        <v>20</v>
      </c>
      <c r="C19" s="11" t="s">
        <v>26</v>
      </c>
      <c r="D19" s="4">
        <v>1</v>
      </c>
      <c r="E19" s="10"/>
      <c r="F19" s="8">
        <f t="shared" si="0"/>
        <v>0</v>
      </c>
      <c r="G19" s="8"/>
    </row>
    <row r="20" spans="1:7" ht="15.75" customHeight="1" x14ac:dyDescent="0.2">
      <c r="A20" s="4">
        <v>10</v>
      </c>
      <c r="B20" s="5" t="s">
        <v>20</v>
      </c>
      <c r="C20" s="11" t="s">
        <v>27</v>
      </c>
      <c r="D20" s="4">
        <v>1</v>
      </c>
      <c r="E20" s="10"/>
      <c r="F20" s="8">
        <f t="shared" si="0"/>
        <v>0</v>
      </c>
      <c r="G20" s="8"/>
    </row>
    <row r="21" spans="1:7" ht="15.75" customHeight="1" x14ac:dyDescent="0.2">
      <c r="A21" s="4">
        <v>20</v>
      </c>
      <c r="B21" s="5" t="s">
        <v>28</v>
      </c>
      <c r="C21" s="12" t="s">
        <v>29</v>
      </c>
      <c r="D21" s="4">
        <v>3</v>
      </c>
      <c r="E21" s="10"/>
      <c r="F21" s="8">
        <f t="shared" si="0"/>
        <v>0</v>
      </c>
      <c r="G21" s="8"/>
    </row>
    <row r="22" spans="1:7" ht="15.75" customHeight="1" x14ac:dyDescent="0.2">
      <c r="A22" s="4">
        <v>21</v>
      </c>
      <c r="B22" s="5" t="s">
        <v>28</v>
      </c>
      <c r="C22" s="5" t="s">
        <v>30</v>
      </c>
      <c r="D22" s="4">
        <v>3</v>
      </c>
      <c r="E22" s="10"/>
      <c r="F22" s="8">
        <f t="shared" si="0"/>
        <v>0</v>
      </c>
      <c r="G22" s="8"/>
    </row>
    <row r="23" spans="1:7" ht="15.75" customHeight="1" x14ac:dyDescent="0.2">
      <c r="A23" s="4">
        <v>22</v>
      </c>
      <c r="B23" s="5" t="s">
        <v>28</v>
      </c>
      <c r="C23" s="11" t="s">
        <v>31</v>
      </c>
      <c r="D23" s="4">
        <v>3</v>
      </c>
      <c r="E23" s="10"/>
      <c r="F23" s="8">
        <f t="shared" si="0"/>
        <v>0</v>
      </c>
      <c r="G23" s="8"/>
    </row>
    <row r="24" spans="1:7" ht="15.75" customHeight="1" x14ac:dyDescent="0.2">
      <c r="A24" s="4">
        <v>23</v>
      </c>
      <c r="B24" s="5" t="s">
        <v>28</v>
      </c>
      <c r="C24" s="5" t="s">
        <v>32</v>
      </c>
      <c r="D24" s="4">
        <v>3</v>
      </c>
      <c r="E24" s="10"/>
      <c r="F24" s="8">
        <f t="shared" si="0"/>
        <v>0</v>
      </c>
      <c r="G24" s="8"/>
    </row>
    <row r="25" spans="1:7" ht="15.75" customHeight="1" x14ac:dyDescent="0.2">
      <c r="A25" s="4">
        <v>24</v>
      </c>
      <c r="B25" s="5" t="s">
        <v>28</v>
      </c>
      <c r="C25" s="5" t="s">
        <v>33</v>
      </c>
      <c r="D25" s="4">
        <v>3</v>
      </c>
      <c r="E25" s="10"/>
      <c r="F25" s="8">
        <f t="shared" si="0"/>
        <v>0</v>
      </c>
      <c r="G25" s="8"/>
    </row>
    <row r="26" spans="1:7" ht="15.75" customHeight="1" x14ac:dyDescent="0.2">
      <c r="A26" s="4">
        <v>25</v>
      </c>
      <c r="B26" s="5" t="s">
        <v>28</v>
      </c>
      <c r="C26" s="5" t="s">
        <v>34</v>
      </c>
      <c r="D26" s="4">
        <v>2</v>
      </c>
      <c r="E26" s="10"/>
      <c r="F26" s="8">
        <f t="shared" si="0"/>
        <v>0</v>
      </c>
      <c r="G26" s="8"/>
    </row>
    <row r="27" spans="1:7" ht="15.75" customHeight="1" x14ac:dyDescent="0.2">
      <c r="A27" s="4">
        <v>26</v>
      </c>
      <c r="B27" s="5" t="s">
        <v>28</v>
      </c>
      <c r="C27" s="5" t="s">
        <v>35</v>
      </c>
      <c r="D27" s="4">
        <v>2</v>
      </c>
      <c r="E27" s="10"/>
      <c r="F27" s="8">
        <f t="shared" si="0"/>
        <v>0</v>
      </c>
      <c r="G27" s="8"/>
    </row>
    <row r="28" spans="1:7" ht="15.75" customHeight="1" x14ac:dyDescent="0.2">
      <c r="A28" s="4">
        <v>27</v>
      </c>
      <c r="B28" s="5" t="s">
        <v>28</v>
      </c>
      <c r="C28" s="5" t="s">
        <v>36</v>
      </c>
      <c r="D28" s="4">
        <v>2</v>
      </c>
      <c r="E28" s="10"/>
      <c r="F28" s="8">
        <f t="shared" si="0"/>
        <v>0</v>
      </c>
      <c r="G28" s="8"/>
    </row>
    <row r="29" spans="1:7" ht="15.75" customHeight="1" x14ac:dyDescent="0.2">
      <c r="A29" s="4">
        <v>28</v>
      </c>
      <c r="B29" s="5" t="s">
        <v>28</v>
      </c>
      <c r="C29" s="5" t="s">
        <v>37</v>
      </c>
      <c r="D29" s="4">
        <v>2</v>
      </c>
      <c r="E29" s="10"/>
      <c r="F29" s="8">
        <f t="shared" si="0"/>
        <v>0</v>
      </c>
      <c r="G29" s="8"/>
    </row>
    <row r="30" spans="1:7" ht="15.75" customHeight="1" x14ac:dyDescent="0.2">
      <c r="A30" s="4">
        <v>29</v>
      </c>
      <c r="B30" s="5" t="s">
        <v>28</v>
      </c>
      <c r="C30" s="5" t="s">
        <v>38</v>
      </c>
      <c r="D30" s="4">
        <v>1</v>
      </c>
      <c r="E30" s="10"/>
      <c r="F30" s="8">
        <f t="shared" si="0"/>
        <v>0</v>
      </c>
      <c r="G30" s="8"/>
    </row>
    <row r="31" spans="1:7" ht="15.75" customHeight="1" x14ac:dyDescent="0.2">
      <c r="A31" s="4">
        <v>30</v>
      </c>
      <c r="B31" s="5" t="s">
        <v>28</v>
      </c>
      <c r="C31" s="5" t="s">
        <v>39</v>
      </c>
      <c r="D31" s="4">
        <v>2</v>
      </c>
      <c r="E31" s="10"/>
      <c r="F31" s="8">
        <f t="shared" si="0"/>
        <v>0</v>
      </c>
      <c r="G31" s="8"/>
    </row>
    <row r="32" spans="1:7" ht="15.75" customHeight="1" x14ac:dyDescent="0.2">
      <c r="A32" s="4">
        <v>31</v>
      </c>
      <c r="B32" s="5" t="s">
        <v>40</v>
      </c>
      <c r="C32" s="11" t="s">
        <v>41</v>
      </c>
      <c r="D32" s="4">
        <v>2</v>
      </c>
      <c r="E32" s="10"/>
      <c r="F32" s="8">
        <f t="shared" si="0"/>
        <v>0</v>
      </c>
      <c r="G32" s="8"/>
    </row>
    <row r="33" spans="1:7" ht="15.75" customHeight="1" x14ac:dyDescent="0.2">
      <c r="A33" s="4">
        <v>32</v>
      </c>
      <c r="B33" s="5" t="s">
        <v>40</v>
      </c>
      <c r="C33" s="11" t="s">
        <v>42</v>
      </c>
      <c r="D33" s="4">
        <v>1</v>
      </c>
      <c r="E33" s="10"/>
      <c r="F33" s="8">
        <f t="shared" si="0"/>
        <v>0</v>
      </c>
      <c r="G33" s="8"/>
    </row>
    <row r="34" spans="1:7" ht="15.75" customHeight="1" x14ac:dyDescent="0.2">
      <c r="A34" s="4">
        <v>33</v>
      </c>
      <c r="B34" s="5" t="s">
        <v>43</v>
      </c>
      <c r="C34" s="5" t="s">
        <v>44</v>
      </c>
      <c r="D34" s="4">
        <v>1</v>
      </c>
      <c r="E34" s="10"/>
      <c r="F34" s="8">
        <f t="shared" si="0"/>
        <v>0</v>
      </c>
      <c r="G34" s="8"/>
    </row>
    <row r="35" spans="1:7" ht="15.75" customHeight="1" x14ac:dyDescent="0.2">
      <c r="A35" s="4">
        <v>34</v>
      </c>
      <c r="B35" s="5" t="s">
        <v>45</v>
      </c>
      <c r="C35" s="11" t="s">
        <v>46</v>
      </c>
      <c r="D35" s="4">
        <v>1</v>
      </c>
      <c r="E35" s="10"/>
      <c r="F35" s="8">
        <f t="shared" si="0"/>
        <v>0</v>
      </c>
      <c r="G35" s="8"/>
    </row>
    <row r="36" spans="1:7" ht="15.75" customHeight="1" x14ac:dyDescent="0.2">
      <c r="A36" s="4">
        <v>35</v>
      </c>
      <c r="B36" s="5" t="s">
        <v>45</v>
      </c>
      <c r="C36" s="11" t="s">
        <v>47</v>
      </c>
      <c r="D36" s="4">
        <v>1</v>
      </c>
      <c r="E36" s="10"/>
      <c r="F36" s="8">
        <f t="shared" si="0"/>
        <v>0</v>
      </c>
      <c r="G36" s="8"/>
    </row>
    <row r="37" spans="1:7" ht="15.75" customHeight="1" x14ac:dyDescent="0.2">
      <c r="A37" s="4">
        <v>36</v>
      </c>
      <c r="B37" s="5" t="s">
        <v>45</v>
      </c>
      <c r="C37" s="11" t="s">
        <v>48</v>
      </c>
      <c r="D37" s="4">
        <v>2</v>
      </c>
      <c r="E37" s="10"/>
      <c r="F37" s="8">
        <f t="shared" si="0"/>
        <v>0</v>
      </c>
      <c r="G37" s="8"/>
    </row>
    <row r="38" spans="1:7" ht="15.75" customHeight="1" x14ac:dyDescent="0.2">
      <c r="A38" s="4">
        <v>37</v>
      </c>
      <c r="B38" s="5" t="s">
        <v>45</v>
      </c>
      <c r="C38" s="11" t="s">
        <v>49</v>
      </c>
      <c r="D38" s="4">
        <v>2</v>
      </c>
      <c r="E38" s="10"/>
      <c r="F38" s="8">
        <f t="shared" si="0"/>
        <v>0</v>
      </c>
      <c r="G38" s="8"/>
    </row>
    <row r="39" spans="1:7" ht="15.75" customHeight="1" x14ac:dyDescent="0.2">
      <c r="A39" s="4">
        <v>38</v>
      </c>
      <c r="B39" s="5" t="s">
        <v>45</v>
      </c>
      <c r="C39" s="11" t="s">
        <v>50</v>
      </c>
      <c r="D39" s="4">
        <v>2</v>
      </c>
      <c r="E39" s="10"/>
      <c r="F39" s="8">
        <f t="shared" si="0"/>
        <v>0</v>
      </c>
      <c r="G39" s="8"/>
    </row>
    <row r="40" spans="1:7" ht="12.75" x14ac:dyDescent="0.2">
      <c r="A40" s="4">
        <v>39</v>
      </c>
      <c r="B40" s="5" t="s">
        <v>45</v>
      </c>
      <c r="C40" s="11" t="s">
        <v>51</v>
      </c>
      <c r="D40" s="4">
        <v>1</v>
      </c>
      <c r="E40" s="10"/>
      <c r="F40" s="8">
        <f t="shared" si="0"/>
        <v>0</v>
      </c>
      <c r="G40" s="8"/>
    </row>
    <row r="41" spans="1:7" ht="12.75" x14ac:dyDescent="0.2">
      <c r="A41" s="4">
        <v>40</v>
      </c>
      <c r="B41" s="5" t="s">
        <v>45</v>
      </c>
      <c r="C41" s="5" t="s">
        <v>52</v>
      </c>
      <c r="D41" s="4">
        <v>1</v>
      </c>
      <c r="E41" s="13"/>
      <c r="F41" s="8">
        <f t="shared" si="0"/>
        <v>0</v>
      </c>
      <c r="G41" s="14"/>
    </row>
    <row r="42" spans="1:7" ht="12.75" x14ac:dyDescent="0.2">
      <c r="A42" s="4"/>
      <c r="B42" s="15" t="s">
        <v>53</v>
      </c>
      <c r="C42" s="8"/>
      <c r="D42" s="16"/>
      <c r="E42" s="16"/>
      <c r="F42" s="17">
        <f>SUM(F2:F41)</f>
        <v>0</v>
      </c>
      <c r="G42" s="14"/>
    </row>
    <row r="43" spans="1:7" ht="12.75" x14ac:dyDescent="0.2">
      <c r="A43" s="8"/>
      <c r="B43" s="11"/>
      <c r="C43" s="18" t="s">
        <v>54</v>
      </c>
      <c r="D43" s="19">
        <v>249</v>
      </c>
      <c r="E43" s="20"/>
      <c r="F43" s="21"/>
      <c r="G43" s="21"/>
    </row>
    <row r="44" spans="1:7" ht="12.75" x14ac:dyDescent="0.2">
      <c r="A44" s="20"/>
      <c r="B44" s="11" t="s">
        <v>55</v>
      </c>
      <c r="C44" s="18" t="s">
        <v>56</v>
      </c>
      <c r="D44" s="19">
        <v>83</v>
      </c>
      <c r="E44" s="20"/>
      <c r="F44" s="14"/>
      <c r="G44" s="14"/>
    </row>
  </sheetData>
  <autoFilter ref="A1:G4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Морозова Елена</cp:lastModifiedBy>
  <dcterms:modified xsi:type="dcterms:W3CDTF">2022-11-23T10:05:29Z</dcterms:modified>
</cp:coreProperties>
</file>