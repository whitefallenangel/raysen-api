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timofeeva\Desktop\"/>
    </mc:Choice>
  </mc:AlternateContent>
  <xr:revisionPtr revIDLastSave="0" documentId="13_ncr:1_{40327465-8181-417E-BA5D-06556A6E7C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клады" sheetId="4" r:id="rId1"/>
    <sheet name="Офисы" sheetId="6" r:id="rId2"/>
  </sheets>
  <definedNames>
    <definedName name="_xlnm._FilterDatabase" localSheetId="1" hidden="1">Офисы!$A$3:$I$54</definedName>
    <definedName name="_xlnm._FilterDatabase" localSheetId="0" hidden="1">Склады!$A$2:$L$30</definedName>
    <definedName name="_xlnm.Print_Area" localSheetId="1">Офисы!$A$2:$I$56</definedName>
    <definedName name="_xlnm.Print_Area" localSheetId="0">Склады!$A$1:$L$30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6" l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6" i="4"/>
  <c r="A8" i="4"/>
  <c r="A10" i="4"/>
  <c r="A12" i="4"/>
  <c r="A14" i="4"/>
  <c r="A16" i="4"/>
  <c r="A18" i="4"/>
  <c r="A20" i="4"/>
  <c r="A22" i="4"/>
  <c r="A24" i="4"/>
  <c r="A26" i="4"/>
  <c r="A28" i="4"/>
  <c r="A30" i="4"/>
  <c r="J14" i="4"/>
  <c r="J18" i="4"/>
  <c r="H41" i="6"/>
  <c r="H42" i="6"/>
  <c r="J23" i="4"/>
  <c r="J9" i="4" l="1"/>
  <c r="J8" i="4" l="1"/>
  <c r="J15" i="4"/>
  <c r="J22" i="4"/>
  <c r="J16" i="4"/>
  <c r="J20" i="4"/>
  <c r="J3" i="4"/>
  <c r="H37" i="6"/>
  <c r="H30" i="4" l="1"/>
  <c r="J21" i="4"/>
  <c r="J25" i="4"/>
  <c r="J10" i="4" l="1"/>
  <c r="J13" i="4" l="1"/>
  <c r="J17" i="4"/>
  <c r="H18" i="6" l="1"/>
  <c r="J11" i="4" l="1"/>
  <c r="H35" i="6" l="1"/>
  <c r="J27" i="4" l="1"/>
  <c r="H17" i="6" l="1"/>
  <c r="F54" i="6"/>
  <c r="H53" i="6"/>
  <c r="J24" i="4"/>
  <c r="H40" i="6"/>
  <c r="H12" i="6"/>
  <c r="H11" i="6"/>
  <c r="H13" i="6"/>
  <c r="H10" i="6"/>
  <c r="H24" i="6"/>
  <c r="H45" i="6"/>
  <c r="J12" i="4"/>
  <c r="A4" i="4" l="1"/>
  <c r="H38" i="6"/>
  <c r="H32" i="6" l="1"/>
  <c r="J26" i="4" l="1"/>
  <c r="H31" i="6"/>
  <c r="J29" i="4"/>
  <c r="H16" i="6" l="1"/>
  <c r="H47" i="6"/>
  <c r="H23" i="6"/>
  <c r="H29" i="6"/>
  <c r="H27" i="6"/>
  <c r="H14" i="6"/>
  <c r="H8" i="6"/>
  <c r="H48" i="6"/>
  <c r="A5" i="6"/>
  <c r="A6" i="6" s="1"/>
  <c r="A7" i="6" s="1"/>
  <c r="A8" i="6" s="1"/>
  <c r="H5" i="6"/>
  <c r="H25" i="6"/>
  <c r="H44" i="6"/>
  <c r="J19" i="4"/>
  <c r="J4" i="4"/>
  <c r="J7" i="4"/>
  <c r="H34" i="6" l="1"/>
  <c r="H15" i="6"/>
  <c r="H46" i="6"/>
  <c r="H22" i="6"/>
  <c r="H19" i="6"/>
  <c r="H28" i="6" l="1"/>
  <c r="H30" i="6" l="1"/>
  <c r="A46" i="6" l="1"/>
  <c r="A47" i="6" s="1"/>
  <c r="A48" i="6" s="1"/>
  <c r="A49" i="6" s="1"/>
  <c r="A50" i="6" s="1"/>
  <c r="A51" i="6" s="1"/>
  <c r="A52" i="6" s="1"/>
  <c r="A53" i="6" l="1"/>
  <c r="A54" i="6" s="1"/>
  <c r="J6" i="4" l="1"/>
  <c r="H49" i="6" l="1"/>
  <c r="H50" i="6"/>
  <c r="H52" i="6"/>
  <c r="H43" i="6"/>
  <c r="J5" i="4" l="1"/>
  <c r="H39" i="6" l="1"/>
  <c r="H7" i="6" l="1"/>
  <c r="H26" i="6"/>
  <c r="H36" i="6"/>
  <c r="H51" i="6"/>
  <c r="H20" i="6" l="1"/>
  <c r="H21" i="6" l="1"/>
  <c r="H9" i="6" l="1"/>
  <c r="J28" i="4" l="1"/>
  <c r="H4" i="6" l="1"/>
  <c r="H6" i="6"/>
  <c r="H33" i="6"/>
</calcChain>
</file>

<file path=xl/sharedStrings.xml><?xml version="1.0" encoding="utf-8"?>
<sst xmlns="http://schemas.openxmlformats.org/spreadsheetml/2006/main" count="271" uniqueCount="81">
  <si>
    <t xml:space="preserve">Комментарии </t>
  </si>
  <si>
    <t>Арендная плата в месяц</t>
  </si>
  <si>
    <t>№</t>
  </si>
  <si>
    <t>Площадь</t>
  </si>
  <si>
    <t xml:space="preserve">Ставка </t>
  </si>
  <si>
    <t>Строение</t>
  </si>
  <si>
    <t>этаж</t>
  </si>
  <si>
    <t>Номер помещения</t>
  </si>
  <si>
    <t>13а</t>
  </si>
  <si>
    <t>17б</t>
  </si>
  <si>
    <t>Назначение помещения</t>
  </si>
  <si>
    <t>офис</t>
  </si>
  <si>
    <t>подвал</t>
  </si>
  <si>
    <t xml:space="preserve">Высота потолка </t>
  </si>
  <si>
    <t>5,0 м</t>
  </si>
  <si>
    <t>t зимой</t>
  </si>
  <si>
    <t>t летом</t>
  </si>
  <si>
    <t>до 28 С*</t>
  </si>
  <si>
    <t>плюс 4-8С*</t>
  </si>
  <si>
    <t>плюс 4-10С*</t>
  </si>
  <si>
    <t xml:space="preserve">Офисные помещения готовые к аренде </t>
  </si>
  <si>
    <t xml:space="preserve">Складские помещения готовые к аренде </t>
  </si>
  <si>
    <t>4,75 м</t>
  </si>
  <si>
    <t>утепл.</t>
  </si>
  <si>
    <t>17а</t>
  </si>
  <si>
    <t>17в</t>
  </si>
  <si>
    <t>-</t>
  </si>
  <si>
    <t>1,2,3</t>
  </si>
  <si>
    <t>12б</t>
  </si>
  <si>
    <t>5ч</t>
  </si>
  <si>
    <t>8б</t>
  </si>
  <si>
    <t>11г</t>
  </si>
  <si>
    <t>63ч</t>
  </si>
  <si>
    <t>8г</t>
  </si>
  <si>
    <t>а1</t>
  </si>
  <si>
    <t>8а</t>
  </si>
  <si>
    <t>3а</t>
  </si>
  <si>
    <t>отопл.</t>
  </si>
  <si>
    <t xml:space="preserve">    </t>
  </si>
  <si>
    <t>111,112,113</t>
  </si>
  <si>
    <t>17е</t>
  </si>
  <si>
    <t>20,21,26б-26д</t>
  </si>
  <si>
    <t>12в</t>
  </si>
  <si>
    <t>44ч</t>
  </si>
  <si>
    <t>1В</t>
  </si>
  <si>
    <t>8ж</t>
  </si>
  <si>
    <t>8е</t>
  </si>
  <si>
    <t>8в</t>
  </si>
  <si>
    <t>8д</t>
  </si>
  <si>
    <t>1/а1</t>
  </si>
  <si>
    <t>141-146</t>
  </si>
  <si>
    <t>148-149</t>
  </si>
  <si>
    <t>плюс 15С*</t>
  </si>
  <si>
    <t>68-74</t>
  </si>
  <si>
    <t>1-15,0</t>
  </si>
  <si>
    <t>1,2-9</t>
  </si>
  <si>
    <t>2,6 м</t>
  </si>
  <si>
    <t>11чк</t>
  </si>
  <si>
    <t>17г</t>
  </si>
  <si>
    <t>9в</t>
  </si>
  <si>
    <t>63ч,88-90</t>
  </si>
  <si>
    <t>21-22</t>
  </si>
  <si>
    <t>антр. 1</t>
  </si>
  <si>
    <t>1,2-5</t>
  </si>
  <si>
    <t>5,6,17а</t>
  </si>
  <si>
    <t>18,19,24(ч)</t>
  </si>
  <si>
    <t>22,23,26а(ч)</t>
  </si>
  <si>
    <t>20,21.</t>
  </si>
  <si>
    <t>7ч</t>
  </si>
  <si>
    <t>71ч</t>
  </si>
  <si>
    <t>15,20-27</t>
  </si>
  <si>
    <t>67д</t>
  </si>
  <si>
    <t>освобождается 10.09.2024</t>
  </si>
  <si>
    <t>освобождается 20.09.2024</t>
  </si>
  <si>
    <t>освобождается 30.09.2024</t>
  </si>
  <si>
    <t>освобождается 29.09.2024</t>
  </si>
  <si>
    <t>освобождается 11.10.2024</t>
  </si>
  <si>
    <t>освобождается 27.10.2024</t>
  </si>
  <si>
    <t xml:space="preserve">освобождается 04.10.2024 </t>
  </si>
  <si>
    <t xml:space="preserve">освобождается 27.10.2024 </t>
  </si>
  <si>
    <t xml:space="preserve">освобождается 30.09.2024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</si>
</sst>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AD94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4" fontId="3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164" fontId="5" fillId="2" borderId="0" xfId="2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2" applyFont="1" applyAlignment="1">
      <alignment horizontal="center" vertical="center"/>
    </xf>
    <xf numFmtId="2" fontId="5" fillId="0" borderId="0" xfId="2" applyNumberFormat="1" applyFont="1" applyAlignment="1">
      <alignment horizontal="center" wrapText="1"/>
    </xf>
    <xf numFmtId="164" fontId="4" fillId="0" borderId="1" xfId="2" applyFont="1" applyFill="1" applyBorder="1" applyAlignment="1">
      <alignment horizontal="center" vertical="center" wrapText="1"/>
    </xf>
    <xf numFmtId="164" fontId="4" fillId="0" borderId="5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164" fontId="5" fillId="5" borderId="11" xfId="2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3" borderId="1" xfId="2" applyNumberFormat="1" applyFont="1" applyFill="1" applyBorder="1" applyAlignment="1">
      <alignment horizontal="center" vertical="center" wrapText="1"/>
    </xf>
    <xf numFmtId="164" fontId="5" fillId="3" borderId="1" xfId="2" applyFont="1" applyFill="1" applyBorder="1" applyAlignment="1">
      <alignment horizontal="center" vertical="center" wrapText="1"/>
    </xf>
    <xf numFmtId="2" fontId="5" fillId="0" borderId="1" xfId="2" applyNumberFormat="1" applyFont="1" applyFill="1" applyBorder="1" applyAlignment="1">
      <alignment horizontal="center" vertical="center" wrapText="1"/>
    </xf>
    <xf numFmtId="2" fontId="6" fillId="0" borderId="2" xfId="2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vertical="center" wrapText="1"/>
    </xf>
    <xf numFmtId="164" fontId="1" fillId="0" borderId="1" xfId="2" applyFont="1" applyFill="1" applyBorder="1" applyAlignment="1">
      <alignment horizontal="center" vertical="center"/>
    </xf>
    <xf numFmtId="0" fontId="4" fillId="10" borderId="4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164" fontId="5" fillId="8" borderId="1" xfId="0" applyNumberFormat="1" applyFont="1" applyFill="1" applyBorder="1" applyAlignment="1">
      <alignment horizontal="center" vertical="center"/>
    </xf>
    <xf numFmtId="164" fontId="5" fillId="7" borderId="1" xfId="2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" fontId="4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6" fontId="4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0" defaultTableStyle="TableStyleMedium2" defaultPivotStyle="PivotStyleLight16"/>
  <colors>
    <mruColors>
      <color rgb="FFFFFFCC"/>
      <color rgb="FFCCFF99"/>
      <color rgb="FFFFFF99"/>
      <color rgb="FFCA82FB"/>
      <color rgb="FF99FF99"/>
      <color rgb="FFCCFF66"/>
      <color rgb="FFCAD940"/>
      <color rgb="FF4047CB"/>
      <color rgb="FF5454CB"/>
      <color rgb="FF9A6C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FFF5-5FB1-48D6-92C4-89DF53A32AFF}">
  <sheetPr codeName="Лист1">
    <pageSetUpPr fitToPage="1"/>
  </sheetPr>
  <dimension ref="A1:L37"/>
  <sheetViews>
    <sheetView tabSelected="1" zoomScale="85" zoomScaleNormal="85" workbookViewId="0">
      <pane ySplit="2" topLeftCell="A3" activePane="bottomLeft" state="frozen"/>
      <selection pane="bottomLeft" activeCell="C36" sqref="C36"/>
    </sheetView>
  </sheetViews>
  <sheetFormatPr defaultColWidth="9.140625" defaultRowHeight="12.75" x14ac:dyDescent="0.2"/>
  <cols>
    <col min="1" max="1" width="5.140625" style="2" customWidth="1"/>
    <col min="2" max="2" width="9.140625" style="1"/>
    <col min="3" max="3" width="10.85546875" style="2" bestFit="1" customWidth="1"/>
    <col min="4" max="4" width="10" style="2" bestFit="1" customWidth="1"/>
    <col min="5" max="5" width="9.140625" style="2" customWidth="1"/>
    <col min="6" max="6" width="9.140625" style="2"/>
    <col min="7" max="7" width="12.85546875" style="16" customWidth="1"/>
    <col min="8" max="8" width="13.85546875" style="16" customWidth="1"/>
    <col min="9" max="9" width="11.85546875" style="2" customWidth="1"/>
    <col min="10" max="10" width="15.5703125" style="2" customWidth="1"/>
    <col min="11" max="11" width="9.140625" style="2"/>
    <col min="12" max="12" width="29.5703125" style="4" customWidth="1"/>
    <col min="13" max="13" width="13.42578125" style="2" bestFit="1" customWidth="1"/>
    <col min="14" max="16384" width="9.140625" style="2"/>
  </cols>
  <sheetData>
    <row r="1" spans="1:12" ht="22.5" customHeight="1" thickBot="1" x14ac:dyDescent="0.25">
      <c r="A1" s="62" t="s">
        <v>21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4"/>
    </row>
    <row r="2" spans="1:12" ht="51.75" thickBot="1" x14ac:dyDescent="0.25">
      <c r="A2" s="21" t="s">
        <v>2</v>
      </c>
      <c r="B2" s="22" t="s">
        <v>10</v>
      </c>
      <c r="C2" s="22" t="s">
        <v>15</v>
      </c>
      <c r="D2" s="22" t="s">
        <v>16</v>
      </c>
      <c r="E2" s="22" t="s">
        <v>5</v>
      </c>
      <c r="F2" s="22" t="s">
        <v>6</v>
      </c>
      <c r="G2" s="22" t="s">
        <v>7</v>
      </c>
      <c r="H2" s="23" t="s">
        <v>3</v>
      </c>
      <c r="I2" s="23" t="s">
        <v>4</v>
      </c>
      <c r="J2" s="23" t="s">
        <v>1</v>
      </c>
      <c r="K2" s="23" t="s">
        <v>13</v>
      </c>
      <c r="L2" s="25" t="s">
        <v>0</v>
      </c>
    </row>
    <row r="3" spans="1:12" ht="16.5" customHeight="1" x14ac:dyDescent="0.2">
      <c r="A3" s="20">
        <v>1</v>
      </c>
      <c r="B3" s="14" t="s">
        <v>23</v>
      </c>
      <c r="C3" s="48" t="s">
        <v>19</v>
      </c>
      <c r="D3" s="48" t="s">
        <v>17</v>
      </c>
      <c r="E3" s="48" t="s">
        <v>44</v>
      </c>
      <c r="F3" s="51" t="s">
        <v>12</v>
      </c>
      <c r="G3" s="52" t="s">
        <v>69</v>
      </c>
      <c r="H3" s="12">
        <v>62</v>
      </c>
      <c r="I3" s="35">
        <v>1300</v>
      </c>
      <c r="J3" s="53">
        <f t="shared" ref="J3" si="0">H3*I3</f>
        <v>80600</v>
      </c>
      <c r="K3" s="8">
        <v>3</v>
      </c>
      <c r="L3" s="48" t="s">
        <v>72</v>
      </c>
    </row>
    <row r="4" spans="1:12" ht="16.5" customHeight="1" x14ac:dyDescent="0.2">
      <c r="A4" s="20">
        <f t="shared" ref="A4:A30" si="1">A3+1</f>
        <v>2</v>
      </c>
      <c r="B4" s="14" t="s">
        <v>23</v>
      </c>
      <c r="C4" s="48" t="s">
        <v>19</v>
      </c>
      <c r="D4" s="48" t="s">
        <v>17</v>
      </c>
      <c r="E4" s="48">
        <v>1</v>
      </c>
      <c r="F4" s="51">
        <v>3</v>
      </c>
      <c r="G4" s="52">
        <v>73</v>
      </c>
      <c r="H4" s="12">
        <v>70.5</v>
      </c>
      <c r="I4" s="35">
        <v>1300</v>
      </c>
      <c r="J4" s="53">
        <f t="shared" ref="J4" si="2">H4*I4</f>
        <v>91650</v>
      </c>
      <c r="K4" s="8" t="s">
        <v>14</v>
      </c>
      <c r="L4" s="48" t="s">
        <v>73</v>
      </c>
    </row>
    <row r="5" spans="1:12" ht="16.5" customHeight="1" x14ac:dyDescent="0.2">
      <c r="A5" s="20">
        <v>2</v>
      </c>
      <c r="B5" s="31" t="s">
        <v>37</v>
      </c>
      <c r="C5" s="48" t="s">
        <v>19</v>
      </c>
      <c r="D5" s="48" t="s">
        <v>17</v>
      </c>
      <c r="E5" s="48">
        <v>13</v>
      </c>
      <c r="F5" s="51">
        <v>1</v>
      </c>
      <c r="G5" s="52">
        <v>3.4</v>
      </c>
      <c r="H5" s="12">
        <v>95.5</v>
      </c>
      <c r="I5" s="35">
        <v>1700</v>
      </c>
      <c r="J5" s="53">
        <f>H5*I5</f>
        <v>162350</v>
      </c>
      <c r="K5" s="8">
        <v>2.8</v>
      </c>
      <c r="L5" s="48"/>
    </row>
    <row r="6" spans="1:12" ht="16.5" customHeight="1" x14ac:dyDescent="0.2">
      <c r="A6" s="20">
        <f t="shared" si="1"/>
        <v>3</v>
      </c>
      <c r="B6" s="31" t="s">
        <v>37</v>
      </c>
      <c r="C6" s="48" t="s">
        <v>19</v>
      </c>
      <c r="D6" s="48" t="s">
        <v>17</v>
      </c>
      <c r="E6" s="48" t="s">
        <v>44</v>
      </c>
      <c r="F6" s="51">
        <v>1</v>
      </c>
      <c r="G6" s="52" t="s">
        <v>51</v>
      </c>
      <c r="H6" s="12">
        <v>110.9</v>
      </c>
      <c r="I6" s="35">
        <v>1600</v>
      </c>
      <c r="J6" s="53">
        <f t="shared" ref="J6" si="3">H6*I6</f>
        <v>177440</v>
      </c>
      <c r="K6" s="8" t="s">
        <v>56</v>
      </c>
      <c r="L6" s="48"/>
    </row>
    <row r="7" spans="1:12" ht="16.5" customHeight="1" x14ac:dyDescent="0.2">
      <c r="A7" s="20">
        <v>3</v>
      </c>
      <c r="B7" s="14" t="s">
        <v>23</v>
      </c>
      <c r="C7" s="48" t="s">
        <v>19</v>
      </c>
      <c r="D7" s="48" t="s">
        <v>17</v>
      </c>
      <c r="E7" s="48" t="s">
        <v>44</v>
      </c>
      <c r="F7" s="50">
        <v>1</v>
      </c>
      <c r="G7" s="52">
        <v>120</v>
      </c>
      <c r="H7" s="12">
        <v>114.9</v>
      </c>
      <c r="I7" s="35">
        <v>1600</v>
      </c>
      <c r="J7" s="53">
        <f t="shared" ref="J7" si="4">H7*I7</f>
        <v>183840</v>
      </c>
      <c r="K7" s="8" t="s">
        <v>14</v>
      </c>
      <c r="L7" s="48"/>
    </row>
    <row r="8" spans="1:12" ht="16.5" customHeight="1" x14ac:dyDescent="0.2">
      <c r="A8" s="20">
        <f t="shared" si="1"/>
        <v>4</v>
      </c>
      <c r="B8" s="14" t="s">
        <v>23</v>
      </c>
      <c r="C8" s="48" t="s">
        <v>19</v>
      </c>
      <c r="D8" s="48" t="s">
        <v>17</v>
      </c>
      <c r="E8" s="48" t="s">
        <v>44</v>
      </c>
      <c r="F8" s="50">
        <v>1</v>
      </c>
      <c r="G8" s="52" t="s">
        <v>70</v>
      </c>
      <c r="H8" s="12">
        <v>144.4</v>
      </c>
      <c r="I8" s="35">
        <v>1600</v>
      </c>
      <c r="J8" s="53">
        <f t="shared" ref="J8:J9" si="5">H8*I8</f>
        <v>231040</v>
      </c>
      <c r="K8" s="8" t="s">
        <v>14</v>
      </c>
      <c r="L8" s="48" t="s">
        <v>74</v>
      </c>
    </row>
    <row r="9" spans="1:12" ht="16.5" customHeight="1" x14ac:dyDescent="0.2">
      <c r="A9" s="20">
        <v>4</v>
      </c>
      <c r="B9" s="14" t="s">
        <v>23</v>
      </c>
      <c r="C9" s="48" t="s">
        <v>19</v>
      </c>
      <c r="D9" s="48" t="s">
        <v>17</v>
      </c>
      <c r="E9" s="48" t="s">
        <v>44</v>
      </c>
      <c r="F9" s="51" t="s">
        <v>12</v>
      </c>
      <c r="G9" s="52" t="s">
        <v>71</v>
      </c>
      <c r="H9" s="12">
        <v>166.2</v>
      </c>
      <c r="I9" s="35">
        <v>850</v>
      </c>
      <c r="J9" s="53">
        <f t="shared" si="5"/>
        <v>141270</v>
      </c>
      <c r="K9" s="8" t="s">
        <v>14</v>
      </c>
      <c r="L9" s="48"/>
    </row>
    <row r="10" spans="1:12" ht="16.5" customHeight="1" x14ac:dyDescent="0.2">
      <c r="A10" s="20">
        <f t="shared" si="1"/>
        <v>5</v>
      </c>
      <c r="B10" s="31" t="s">
        <v>37</v>
      </c>
      <c r="C10" s="48" t="s">
        <v>52</v>
      </c>
      <c r="D10" s="48" t="s">
        <v>17</v>
      </c>
      <c r="E10" s="48">
        <v>1</v>
      </c>
      <c r="F10" s="50">
        <v>1</v>
      </c>
      <c r="G10" s="56" t="s">
        <v>55</v>
      </c>
      <c r="H10" s="12">
        <v>241.6</v>
      </c>
      <c r="I10" s="35">
        <v>1600</v>
      </c>
      <c r="J10" s="6">
        <f t="shared" ref="J10" si="6">H10*I10</f>
        <v>386560</v>
      </c>
      <c r="K10" s="8" t="s">
        <v>14</v>
      </c>
      <c r="L10" s="42"/>
    </row>
    <row r="11" spans="1:12" ht="16.5" customHeight="1" x14ac:dyDescent="0.2">
      <c r="A11" s="20">
        <v>5</v>
      </c>
      <c r="B11" s="14" t="s">
        <v>23</v>
      </c>
      <c r="C11" s="48" t="s">
        <v>19</v>
      </c>
      <c r="D11" s="48" t="s">
        <v>17</v>
      </c>
      <c r="E11" s="48" t="s">
        <v>44</v>
      </c>
      <c r="F11" s="51">
        <v>2</v>
      </c>
      <c r="G11" s="52">
        <v>20</v>
      </c>
      <c r="H11" s="12">
        <v>272.2</v>
      </c>
      <c r="I11" s="35">
        <v>900</v>
      </c>
      <c r="J11" s="53">
        <f t="shared" ref="J11" si="7">H11*I11</f>
        <v>244980</v>
      </c>
      <c r="K11" s="8" t="s">
        <v>14</v>
      </c>
      <c r="L11" s="48" t="s">
        <v>75</v>
      </c>
    </row>
    <row r="12" spans="1:12" ht="16.5" customHeight="1" x14ac:dyDescent="0.2">
      <c r="A12" s="20">
        <f t="shared" si="1"/>
        <v>6</v>
      </c>
      <c r="B12" s="37" t="s">
        <v>37</v>
      </c>
      <c r="C12" s="48" t="s">
        <v>19</v>
      </c>
      <c r="D12" s="48" t="s">
        <v>17</v>
      </c>
      <c r="E12" s="48" t="s">
        <v>44</v>
      </c>
      <c r="F12" s="51">
        <v>1</v>
      </c>
      <c r="G12" s="52">
        <v>1.1000000000000001</v>
      </c>
      <c r="H12" s="12">
        <v>280.3</v>
      </c>
      <c r="I12" s="35">
        <v>1600</v>
      </c>
      <c r="J12" s="53">
        <f t="shared" ref="J12" si="8">H12*I12</f>
        <v>448480</v>
      </c>
      <c r="K12" s="8" t="s">
        <v>14</v>
      </c>
      <c r="L12" s="42"/>
    </row>
    <row r="13" spans="1:12" ht="16.5" customHeight="1" x14ac:dyDescent="0.2">
      <c r="A13" s="20">
        <v>6</v>
      </c>
      <c r="B13" s="14" t="s">
        <v>23</v>
      </c>
      <c r="C13" s="48" t="s">
        <v>19</v>
      </c>
      <c r="D13" s="48" t="s">
        <v>17</v>
      </c>
      <c r="E13" s="48">
        <v>13</v>
      </c>
      <c r="F13" s="50">
        <v>1</v>
      </c>
      <c r="G13" s="47" t="s">
        <v>67</v>
      </c>
      <c r="H13" s="12">
        <v>369.6</v>
      </c>
      <c r="I13" s="35">
        <v>1300</v>
      </c>
      <c r="J13" s="6">
        <f t="shared" ref="J13" si="9">H13*I13</f>
        <v>480480.00000000006</v>
      </c>
      <c r="K13" s="8" t="s">
        <v>14</v>
      </c>
      <c r="L13" s="42"/>
    </row>
    <row r="14" spans="1:12" ht="16.5" customHeight="1" x14ac:dyDescent="0.2">
      <c r="A14" s="20">
        <f t="shared" si="1"/>
        <v>7</v>
      </c>
      <c r="B14" s="14" t="s">
        <v>23</v>
      </c>
      <c r="C14" s="48" t="s">
        <v>19</v>
      </c>
      <c r="D14" s="48" t="s">
        <v>17</v>
      </c>
      <c r="E14" s="48" t="s">
        <v>44</v>
      </c>
      <c r="F14" s="50">
        <v>3</v>
      </c>
      <c r="G14" s="52">
        <v>74</v>
      </c>
      <c r="H14" s="12">
        <v>399.3</v>
      </c>
      <c r="I14" s="35">
        <v>900</v>
      </c>
      <c r="J14" s="6">
        <f t="shared" ref="J14" si="10">H14*I14</f>
        <v>359370</v>
      </c>
      <c r="K14" s="8" t="s">
        <v>14</v>
      </c>
      <c r="L14" s="42" t="s">
        <v>76</v>
      </c>
    </row>
    <row r="15" spans="1:12" ht="16.5" customHeight="1" x14ac:dyDescent="0.2">
      <c r="A15" s="20">
        <v>7</v>
      </c>
      <c r="B15" s="14" t="s">
        <v>23</v>
      </c>
      <c r="C15" s="57" t="s">
        <v>18</v>
      </c>
      <c r="D15" s="48" t="s">
        <v>17</v>
      </c>
      <c r="E15" s="42">
        <v>13</v>
      </c>
      <c r="F15" s="58">
        <v>2</v>
      </c>
      <c r="G15" s="59" t="s">
        <v>66</v>
      </c>
      <c r="H15" s="12">
        <v>399.4</v>
      </c>
      <c r="I15" s="8">
        <v>1300</v>
      </c>
      <c r="J15" s="8">
        <f>H15*I15</f>
        <v>519219.99999999994</v>
      </c>
      <c r="K15" s="8" t="s">
        <v>22</v>
      </c>
      <c r="L15" s="42"/>
    </row>
    <row r="16" spans="1:12" ht="16.5" customHeight="1" x14ac:dyDescent="0.2">
      <c r="A16" s="20">
        <f t="shared" si="1"/>
        <v>8</v>
      </c>
      <c r="B16" s="14" t="s">
        <v>23</v>
      </c>
      <c r="C16" s="57" t="s">
        <v>18</v>
      </c>
      <c r="D16" s="48" t="s">
        <v>17</v>
      </c>
      <c r="E16" s="42">
        <v>13</v>
      </c>
      <c r="F16" s="50">
        <v>1</v>
      </c>
      <c r="G16" s="60" t="s">
        <v>65</v>
      </c>
      <c r="H16" s="12">
        <v>423.2</v>
      </c>
      <c r="I16" s="8">
        <v>1300</v>
      </c>
      <c r="J16" s="8">
        <f>H16*I16</f>
        <v>550160</v>
      </c>
      <c r="K16" s="8" t="s">
        <v>22</v>
      </c>
      <c r="L16" s="42"/>
    </row>
    <row r="17" spans="1:12" ht="16.5" customHeight="1" x14ac:dyDescent="0.2">
      <c r="A17" s="20">
        <v>8</v>
      </c>
      <c r="B17" s="14" t="s">
        <v>23</v>
      </c>
      <c r="C17" s="48" t="s">
        <v>19</v>
      </c>
      <c r="D17" s="48" t="s">
        <v>17</v>
      </c>
      <c r="E17" s="48" t="s">
        <v>44</v>
      </c>
      <c r="F17" s="50">
        <v>3</v>
      </c>
      <c r="G17" s="61">
        <v>33</v>
      </c>
      <c r="H17" s="12">
        <v>426.4</v>
      </c>
      <c r="I17" s="35">
        <v>900</v>
      </c>
      <c r="J17" s="6">
        <f t="shared" ref="J17" si="11">H17*I17</f>
        <v>383760</v>
      </c>
      <c r="K17" s="8" t="s">
        <v>14</v>
      </c>
      <c r="L17" s="42"/>
    </row>
    <row r="18" spans="1:12" ht="16.5" customHeight="1" x14ac:dyDescent="0.2">
      <c r="A18" s="20">
        <f t="shared" si="1"/>
        <v>9</v>
      </c>
      <c r="B18" s="14" t="s">
        <v>23</v>
      </c>
      <c r="C18" s="48" t="s">
        <v>19</v>
      </c>
      <c r="D18" s="48" t="s">
        <v>17</v>
      </c>
      <c r="E18" s="48">
        <v>1</v>
      </c>
      <c r="F18" s="50">
        <v>3</v>
      </c>
      <c r="G18" s="61">
        <v>28</v>
      </c>
      <c r="H18" s="12">
        <v>435.8</v>
      </c>
      <c r="I18" s="35">
        <v>900</v>
      </c>
      <c r="J18" s="6">
        <f t="shared" ref="J18" si="12">H18*I18</f>
        <v>392220</v>
      </c>
      <c r="K18" s="8" t="s">
        <v>14</v>
      </c>
      <c r="L18" s="42" t="s">
        <v>77</v>
      </c>
    </row>
    <row r="19" spans="1:12" ht="16.5" customHeight="1" x14ac:dyDescent="0.2">
      <c r="A19" s="20">
        <v>9</v>
      </c>
      <c r="B19" s="14" t="s">
        <v>23</v>
      </c>
      <c r="C19" s="48" t="s">
        <v>19</v>
      </c>
      <c r="D19" s="48" t="s">
        <v>17</v>
      </c>
      <c r="E19" s="48" t="s">
        <v>44</v>
      </c>
      <c r="F19" s="50">
        <v>3</v>
      </c>
      <c r="G19" s="61">
        <v>107</v>
      </c>
      <c r="H19" s="12">
        <v>435.8</v>
      </c>
      <c r="I19" s="35">
        <v>900</v>
      </c>
      <c r="J19" s="6">
        <f t="shared" ref="J19" si="13">H19*I19</f>
        <v>392220</v>
      </c>
      <c r="K19" s="8" t="s">
        <v>14</v>
      </c>
      <c r="L19" s="42"/>
    </row>
    <row r="20" spans="1:12" ht="16.5" customHeight="1" x14ac:dyDescent="0.2">
      <c r="A20" s="20">
        <f t="shared" si="1"/>
        <v>10</v>
      </c>
      <c r="B20" s="14" t="s">
        <v>23</v>
      </c>
      <c r="C20" s="48" t="s">
        <v>19</v>
      </c>
      <c r="D20" s="48" t="s">
        <v>17</v>
      </c>
      <c r="E20" s="48" t="s">
        <v>44</v>
      </c>
      <c r="F20" s="50">
        <v>2</v>
      </c>
      <c r="G20" s="61">
        <v>104</v>
      </c>
      <c r="H20" s="12">
        <v>437.4</v>
      </c>
      <c r="I20" s="35">
        <v>900</v>
      </c>
      <c r="J20" s="6">
        <f t="shared" ref="J20" si="14">H20*I20</f>
        <v>393660</v>
      </c>
      <c r="K20" s="8" t="s">
        <v>14</v>
      </c>
      <c r="L20" s="42" t="s">
        <v>74</v>
      </c>
    </row>
    <row r="21" spans="1:12" ht="16.5" customHeight="1" x14ac:dyDescent="0.2">
      <c r="A21" s="20">
        <v>10</v>
      </c>
      <c r="B21" s="14" t="s">
        <v>23</v>
      </c>
      <c r="C21" s="48" t="s">
        <v>19</v>
      </c>
      <c r="D21" s="48" t="s">
        <v>17</v>
      </c>
      <c r="E21" s="48">
        <v>1</v>
      </c>
      <c r="F21" s="50">
        <v>3</v>
      </c>
      <c r="G21" s="61">
        <v>96</v>
      </c>
      <c r="H21" s="12">
        <v>438.1</v>
      </c>
      <c r="I21" s="35">
        <v>900</v>
      </c>
      <c r="J21" s="6">
        <f t="shared" ref="J21" si="15">H21*I21</f>
        <v>394290</v>
      </c>
      <c r="K21" s="8" t="s">
        <v>14</v>
      </c>
      <c r="L21" s="42" t="s">
        <v>74</v>
      </c>
    </row>
    <row r="22" spans="1:12" ht="16.5" customHeight="1" x14ac:dyDescent="0.2">
      <c r="A22" s="20">
        <f t="shared" si="1"/>
        <v>11</v>
      </c>
      <c r="B22" s="14" t="s">
        <v>23</v>
      </c>
      <c r="C22" s="48" t="s">
        <v>19</v>
      </c>
      <c r="D22" s="48" t="s">
        <v>17</v>
      </c>
      <c r="E22" s="48" t="s">
        <v>44</v>
      </c>
      <c r="F22" s="50">
        <v>2</v>
      </c>
      <c r="G22" s="61">
        <v>116</v>
      </c>
      <c r="H22" s="12">
        <v>439</v>
      </c>
      <c r="I22" s="35">
        <v>900</v>
      </c>
      <c r="J22" s="6">
        <f t="shared" ref="J22" si="16">H22*I22</f>
        <v>395100</v>
      </c>
      <c r="K22" s="8" t="s">
        <v>14</v>
      </c>
      <c r="L22" s="42" t="s">
        <v>74</v>
      </c>
    </row>
    <row r="23" spans="1:12" ht="16.5" customHeight="1" x14ac:dyDescent="0.2">
      <c r="A23" s="20">
        <v>11</v>
      </c>
      <c r="B23" s="14" t="s">
        <v>23</v>
      </c>
      <c r="C23" s="48" t="s">
        <v>19</v>
      </c>
      <c r="D23" s="48" t="s">
        <v>17</v>
      </c>
      <c r="E23" s="48">
        <v>1</v>
      </c>
      <c r="F23" s="50">
        <v>2</v>
      </c>
      <c r="G23" s="61">
        <v>16</v>
      </c>
      <c r="H23" s="12">
        <v>439.1</v>
      </c>
      <c r="I23" s="35">
        <v>900</v>
      </c>
      <c r="J23" s="6">
        <f t="shared" ref="J23" si="17">H23*I23</f>
        <v>395190</v>
      </c>
      <c r="K23" s="8" t="s">
        <v>14</v>
      </c>
      <c r="L23" s="42" t="s">
        <v>77</v>
      </c>
    </row>
    <row r="24" spans="1:12" ht="16.5" customHeight="1" x14ac:dyDescent="0.2">
      <c r="A24" s="20">
        <f t="shared" si="1"/>
        <v>12</v>
      </c>
      <c r="B24" s="14" t="s">
        <v>23</v>
      </c>
      <c r="C24" s="48" t="s">
        <v>19</v>
      </c>
      <c r="D24" s="48" t="s">
        <v>17</v>
      </c>
      <c r="E24" s="42">
        <v>13</v>
      </c>
      <c r="F24" s="58">
        <v>2</v>
      </c>
      <c r="G24" s="42" t="s">
        <v>41</v>
      </c>
      <c r="H24" s="12">
        <v>443.7</v>
      </c>
      <c r="I24" s="35">
        <v>1300</v>
      </c>
      <c r="J24" s="8">
        <f t="shared" ref="J24" si="18">H24*I24</f>
        <v>576810</v>
      </c>
      <c r="K24" s="8" t="s">
        <v>14</v>
      </c>
      <c r="L24" s="42"/>
    </row>
    <row r="25" spans="1:12" ht="16.5" customHeight="1" x14ac:dyDescent="0.2">
      <c r="A25" s="20">
        <v>12</v>
      </c>
      <c r="B25" s="14" t="s">
        <v>23</v>
      </c>
      <c r="C25" s="48" t="s">
        <v>19</v>
      </c>
      <c r="D25" s="48" t="s">
        <v>17</v>
      </c>
      <c r="E25" s="48">
        <v>1</v>
      </c>
      <c r="F25" s="51" t="s">
        <v>12</v>
      </c>
      <c r="G25" s="52" t="s">
        <v>68</v>
      </c>
      <c r="H25" s="12">
        <v>463.2</v>
      </c>
      <c r="I25" s="35">
        <v>8500</v>
      </c>
      <c r="J25" s="53">
        <f t="shared" ref="J25" si="19">H25*I25</f>
        <v>3937200</v>
      </c>
      <c r="K25" s="8" t="s">
        <v>14</v>
      </c>
      <c r="L25" s="42"/>
    </row>
    <row r="26" spans="1:12" ht="16.5" customHeight="1" x14ac:dyDescent="0.2">
      <c r="A26" s="20">
        <f t="shared" si="1"/>
        <v>13</v>
      </c>
      <c r="B26" s="31" t="s">
        <v>37</v>
      </c>
      <c r="C26" s="48" t="s">
        <v>52</v>
      </c>
      <c r="D26" s="48" t="s">
        <v>17</v>
      </c>
      <c r="E26" s="48" t="s">
        <v>44</v>
      </c>
      <c r="F26" s="50">
        <v>1</v>
      </c>
      <c r="G26" s="61">
        <v>121</v>
      </c>
      <c r="H26" s="12">
        <v>524.29999999999995</v>
      </c>
      <c r="I26" s="35">
        <v>1600</v>
      </c>
      <c r="J26" s="6">
        <f t="shared" ref="J26" si="20">H26*I26</f>
        <v>838879.99999999988</v>
      </c>
      <c r="K26" s="8" t="s">
        <v>14</v>
      </c>
      <c r="L26" s="42"/>
    </row>
    <row r="27" spans="1:12" ht="16.5" customHeight="1" x14ac:dyDescent="0.2">
      <c r="A27" s="20">
        <v>13</v>
      </c>
      <c r="B27" s="14" t="s">
        <v>23</v>
      </c>
      <c r="C27" s="48" t="s">
        <v>19</v>
      </c>
      <c r="D27" s="48" t="s">
        <v>17</v>
      </c>
      <c r="E27" s="48" t="s">
        <v>44</v>
      </c>
      <c r="F27" s="50" t="s">
        <v>12</v>
      </c>
      <c r="G27" s="48">
        <v>42</v>
      </c>
      <c r="H27" s="12">
        <v>724.5</v>
      </c>
      <c r="I27" s="35">
        <v>850</v>
      </c>
      <c r="J27" s="6">
        <f t="shared" ref="J27" si="21">H27*I27</f>
        <v>615825</v>
      </c>
      <c r="K27" s="8" t="s">
        <v>14</v>
      </c>
      <c r="L27" s="46"/>
    </row>
    <row r="28" spans="1:12" ht="16.5" customHeight="1" x14ac:dyDescent="0.2">
      <c r="A28" s="20">
        <f t="shared" si="1"/>
        <v>14</v>
      </c>
      <c r="B28" s="14" t="s">
        <v>23</v>
      </c>
      <c r="C28" s="48" t="s">
        <v>19</v>
      </c>
      <c r="D28" s="48" t="s">
        <v>17</v>
      </c>
      <c r="E28" s="48">
        <v>1</v>
      </c>
      <c r="F28" s="50">
        <v>1</v>
      </c>
      <c r="G28" s="48" t="s">
        <v>32</v>
      </c>
      <c r="H28" s="12">
        <v>1302.8</v>
      </c>
      <c r="I28" s="35">
        <v>1300</v>
      </c>
      <c r="J28" s="6">
        <f>H28*I28</f>
        <v>1693640</v>
      </c>
      <c r="K28" s="8" t="s">
        <v>14</v>
      </c>
      <c r="L28" s="42"/>
    </row>
    <row r="29" spans="1:12" ht="16.5" customHeight="1" x14ac:dyDescent="0.2">
      <c r="A29" s="20">
        <v>14</v>
      </c>
      <c r="B29" s="31" t="s">
        <v>37</v>
      </c>
      <c r="C29" s="48" t="s">
        <v>19</v>
      </c>
      <c r="D29" s="48" t="s">
        <v>17</v>
      </c>
      <c r="E29" s="48" t="s">
        <v>44</v>
      </c>
      <c r="F29" s="55">
        <v>1</v>
      </c>
      <c r="G29" s="48" t="s">
        <v>60</v>
      </c>
      <c r="H29" s="12">
        <v>2568.1</v>
      </c>
      <c r="I29" s="35">
        <v>1600</v>
      </c>
      <c r="J29" s="8">
        <f>H29*I29</f>
        <v>4108960</v>
      </c>
      <c r="K29" s="8" t="s">
        <v>14</v>
      </c>
      <c r="L29" s="46"/>
    </row>
    <row r="30" spans="1:12" ht="16.5" customHeight="1" x14ac:dyDescent="0.2">
      <c r="A30" s="20">
        <f t="shared" si="1"/>
        <v>15</v>
      </c>
      <c r="B30" s="33"/>
      <c r="C30" s="38"/>
      <c r="D30" s="38"/>
      <c r="E30" s="38"/>
      <c r="F30" s="38"/>
      <c r="G30" s="32"/>
      <c r="H30" s="39">
        <f>SUM(H3:H29)</f>
        <v>12228.199999999999</v>
      </c>
      <c r="I30" s="39" t="s">
        <v>26</v>
      </c>
      <c r="J30" s="39"/>
      <c r="K30" s="38"/>
      <c r="L30" s="34"/>
    </row>
    <row r="31" spans="1:12" ht="16.5" customHeight="1" x14ac:dyDescent="0.2"/>
    <row r="32" spans="1:12" ht="16.5" customHeight="1" x14ac:dyDescent="0.2"/>
    <row r="33" spans="2:8" ht="16.5" customHeight="1" x14ac:dyDescent="0.2">
      <c r="B33" s="2"/>
      <c r="G33" s="2"/>
      <c r="H33" s="2"/>
    </row>
    <row r="34" spans="2:8" ht="16.5" customHeight="1" x14ac:dyDescent="0.2">
      <c r="B34" s="2"/>
      <c r="G34" s="2"/>
      <c r="H34" s="2"/>
    </row>
    <row r="35" spans="2:8" ht="17.25" customHeight="1" x14ac:dyDescent="0.2"/>
    <row r="36" spans="2:8" ht="17.25" customHeight="1" x14ac:dyDescent="0.2"/>
    <row r="37" spans="2:8" x14ac:dyDescent="0.2">
      <c r="D37" s="2" t="s">
        <v>38</v>
      </c>
    </row>
  </sheetData>
  <autoFilter ref="A2:L30" xr:uid="{F9CDCC0F-9AEE-4701-86F1-88BDCECD7CEF}"/>
  <mergeCells count="1">
    <mergeCell ref="A1:L1"/>
  </mergeCells>
  <phoneticPr fontId="7" type="noConversion"/>
  <pageMargins left="0.11811023622047245" right="0.11811023622047245" top="0.11811023622047245" bottom="0.11811023622047245" header="0.31496062992125984" footer="0.31496062992125984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05EA-AE02-446B-928C-14EBFB06B2E4}">
  <sheetPr codeName="Лист2">
    <pageSetUpPr fitToPage="1"/>
  </sheetPr>
  <dimension ref="A1:I58"/>
  <sheetViews>
    <sheetView topLeftCell="A2" zoomScale="85" zoomScaleNormal="85" zoomScaleSheetLayoutView="100" workbookViewId="0">
      <pane ySplit="2" topLeftCell="A31" activePane="bottomLeft" state="frozen"/>
      <selection activeCell="A2" sqref="A2"/>
      <selection pane="bottomLeft" activeCell="N43" sqref="N43"/>
    </sheetView>
  </sheetViews>
  <sheetFormatPr defaultColWidth="9.140625" defaultRowHeight="12.75" x14ac:dyDescent="0.2"/>
  <cols>
    <col min="1" max="1" width="6.28515625" style="16" customWidth="1"/>
    <col min="2" max="2" width="11.28515625" style="1" customWidth="1"/>
    <col min="3" max="3" width="8.5703125" style="9" customWidth="1"/>
    <col min="4" max="4" width="7.7109375" style="9" customWidth="1"/>
    <col min="5" max="5" width="14.85546875" style="9" bestFit="1" customWidth="1"/>
    <col min="6" max="6" width="12.5703125" style="11" customWidth="1"/>
    <col min="7" max="7" width="13.5703125" style="10" bestFit="1" customWidth="1"/>
    <col min="8" max="8" width="14.28515625" style="10" customWidth="1"/>
    <col min="9" max="9" width="29.85546875" style="9" customWidth="1"/>
    <col min="10" max="10" width="9.140625" style="2" customWidth="1"/>
    <col min="11" max="16384" width="9.140625" style="2"/>
  </cols>
  <sheetData>
    <row r="1" spans="1:9" ht="23.25" hidden="1" customHeight="1" x14ac:dyDescent="0.2">
      <c r="C1" s="2"/>
      <c r="D1" s="2"/>
      <c r="E1" s="65"/>
      <c r="F1" s="65"/>
      <c r="G1" s="3"/>
      <c r="H1" s="3"/>
      <c r="I1" s="2"/>
    </row>
    <row r="2" spans="1:9" ht="32.25" customHeight="1" x14ac:dyDescent="0.2">
      <c r="A2" s="66" t="s">
        <v>20</v>
      </c>
      <c r="B2" s="67"/>
      <c r="C2" s="67"/>
      <c r="D2" s="67"/>
      <c r="E2" s="67"/>
      <c r="F2" s="67"/>
      <c r="G2" s="67"/>
      <c r="H2" s="67"/>
      <c r="I2" s="67"/>
    </row>
    <row r="3" spans="1:9" s="4" customFormat="1" ht="30" customHeight="1" x14ac:dyDescent="0.2">
      <c r="A3" s="26" t="s">
        <v>2</v>
      </c>
      <c r="B3" s="26" t="s">
        <v>10</v>
      </c>
      <c r="C3" s="26" t="s">
        <v>5</v>
      </c>
      <c r="D3" s="26" t="s">
        <v>6</v>
      </c>
      <c r="E3" s="26" t="s">
        <v>7</v>
      </c>
      <c r="F3" s="27" t="s">
        <v>3</v>
      </c>
      <c r="G3" s="28" t="s">
        <v>4</v>
      </c>
      <c r="H3" s="28" t="s">
        <v>1</v>
      </c>
      <c r="I3" s="26" t="s">
        <v>0</v>
      </c>
    </row>
    <row r="4" spans="1:9" ht="15.75" customHeight="1" x14ac:dyDescent="0.2">
      <c r="A4" s="24">
        <v>1</v>
      </c>
      <c r="B4" s="15" t="s">
        <v>11</v>
      </c>
      <c r="C4" s="5">
        <v>13</v>
      </c>
      <c r="D4" s="5">
        <v>3</v>
      </c>
      <c r="E4" s="36">
        <v>2</v>
      </c>
      <c r="F4" s="30">
        <v>5.0999999999999996</v>
      </c>
      <c r="G4" s="13">
        <v>1500</v>
      </c>
      <c r="H4" s="6">
        <f t="shared" ref="H4:H32" si="0">F4*G4</f>
        <v>7649.9999999999991</v>
      </c>
      <c r="I4" s="7"/>
    </row>
    <row r="5" spans="1:9" ht="15.75" customHeight="1" x14ac:dyDescent="0.2">
      <c r="A5" s="24">
        <f>A4+1</f>
        <v>2</v>
      </c>
      <c r="B5" s="43" t="s">
        <v>11</v>
      </c>
      <c r="C5" s="44">
        <v>13</v>
      </c>
      <c r="D5" s="44">
        <v>2</v>
      </c>
      <c r="E5" s="36" t="s">
        <v>40</v>
      </c>
      <c r="F5" s="30">
        <v>7.9</v>
      </c>
      <c r="G5" s="13">
        <v>1500</v>
      </c>
      <c r="H5" s="6">
        <f t="shared" si="0"/>
        <v>11850</v>
      </c>
      <c r="I5" s="42"/>
    </row>
    <row r="6" spans="1:9" ht="15.75" customHeight="1" x14ac:dyDescent="0.2">
      <c r="A6" s="24">
        <f>A5+1</f>
        <v>3</v>
      </c>
      <c r="B6" s="43" t="s">
        <v>11</v>
      </c>
      <c r="C6" s="44">
        <v>13</v>
      </c>
      <c r="D6" s="44">
        <v>2</v>
      </c>
      <c r="E6" s="45">
        <v>1</v>
      </c>
      <c r="F6" s="30">
        <v>8.5</v>
      </c>
      <c r="G6" s="13">
        <v>1500</v>
      </c>
      <c r="H6" s="6">
        <f t="shared" si="0"/>
        <v>12750</v>
      </c>
      <c r="I6" s="46"/>
    </row>
    <row r="7" spans="1:9" ht="15.75" customHeight="1" x14ac:dyDescent="0.2">
      <c r="A7" s="24">
        <f t="shared" ref="A7:A53" si="1">A6+1</f>
        <v>4</v>
      </c>
      <c r="B7" s="43" t="s">
        <v>11</v>
      </c>
      <c r="C7" s="44">
        <v>13</v>
      </c>
      <c r="D7" s="44">
        <v>1</v>
      </c>
      <c r="E7" s="45" t="s">
        <v>36</v>
      </c>
      <c r="F7" s="30">
        <v>9.1999999999999993</v>
      </c>
      <c r="G7" s="13">
        <v>1500</v>
      </c>
      <c r="H7" s="6">
        <f t="shared" si="0"/>
        <v>13799.999999999998</v>
      </c>
      <c r="I7" s="46"/>
    </row>
    <row r="8" spans="1:9" ht="15.75" customHeight="1" x14ac:dyDescent="0.2">
      <c r="A8" s="24">
        <f t="shared" si="1"/>
        <v>5</v>
      </c>
      <c r="B8" s="43" t="s">
        <v>11</v>
      </c>
      <c r="C8" s="44">
        <v>13</v>
      </c>
      <c r="D8" s="44">
        <v>2</v>
      </c>
      <c r="E8" s="45" t="s">
        <v>58</v>
      </c>
      <c r="F8" s="30">
        <v>10</v>
      </c>
      <c r="G8" s="13">
        <v>1500</v>
      </c>
      <c r="H8" s="6">
        <f t="shared" si="0"/>
        <v>15000</v>
      </c>
      <c r="I8" s="46"/>
    </row>
    <row r="9" spans="1:9" ht="15.75" customHeight="1" x14ac:dyDescent="0.2">
      <c r="A9" s="24">
        <f t="shared" si="1"/>
        <v>6</v>
      </c>
      <c r="B9" s="43" t="s">
        <v>11</v>
      </c>
      <c r="C9" s="44">
        <v>3</v>
      </c>
      <c r="D9" s="44">
        <v>2</v>
      </c>
      <c r="E9" s="45" t="s">
        <v>29</v>
      </c>
      <c r="F9" s="30">
        <v>10.5</v>
      </c>
      <c r="G9" s="13">
        <v>1800</v>
      </c>
      <c r="H9" s="6">
        <f t="shared" si="0"/>
        <v>18900</v>
      </c>
      <c r="I9" s="46"/>
    </row>
    <row r="10" spans="1:9" ht="15.75" customHeight="1" x14ac:dyDescent="0.2">
      <c r="A10" s="24">
        <f t="shared" si="1"/>
        <v>7</v>
      </c>
      <c r="B10" s="43" t="s">
        <v>11</v>
      </c>
      <c r="C10" s="44">
        <v>13</v>
      </c>
      <c r="D10" s="44">
        <v>3</v>
      </c>
      <c r="E10" s="45" t="s">
        <v>47</v>
      </c>
      <c r="F10" s="30">
        <v>11.2</v>
      </c>
      <c r="G10" s="13">
        <v>1800</v>
      </c>
      <c r="H10" s="6">
        <f t="shared" si="0"/>
        <v>20160</v>
      </c>
      <c r="I10" s="46"/>
    </row>
    <row r="11" spans="1:9" ht="15.75" customHeight="1" x14ac:dyDescent="0.2">
      <c r="A11" s="24">
        <f t="shared" si="1"/>
        <v>8</v>
      </c>
      <c r="B11" s="43" t="s">
        <v>11</v>
      </c>
      <c r="C11" s="44">
        <v>13</v>
      </c>
      <c r="D11" s="44">
        <v>3</v>
      </c>
      <c r="E11" s="45" t="s">
        <v>35</v>
      </c>
      <c r="F11" s="30">
        <v>12</v>
      </c>
      <c r="G11" s="13">
        <v>1800</v>
      </c>
      <c r="H11" s="6">
        <f t="shared" si="0"/>
        <v>21600</v>
      </c>
      <c r="I11" s="46"/>
    </row>
    <row r="12" spans="1:9" ht="15.75" customHeight="1" x14ac:dyDescent="0.2">
      <c r="A12" s="24">
        <f t="shared" si="1"/>
        <v>9</v>
      </c>
      <c r="B12" s="43" t="s">
        <v>11</v>
      </c>
      <c r="C12" s="44">
        <v>13</v>
      </c>
      <c r="D12" s="44">
        <v>3</v>
      </c>
      <c r="E12" s="45" t="s">
        <v>30</v>
      </c>
      <c r="F12" s="30">
        <v>12.8</v>
      </c>
      <c r="G12" s="13">
        <v>1800</v>
      </c>
      <c r="H12" s="6">
        <f t="shared" si="0"/>
        <v>23040</v>
      </c>
      <c r="I12" s="46"/>
    </row>
    <row r="13" spans="1:9" ht="15.75" customHeight="1" x14ac:dyDescent="0.2">
      <c r="A13" s="24">
        <f t="shared" si="1"/>
        <v>10</v>
      </c>
      <c r="B13" s="43" t="s">
        <v>11</v>
      </c>
      <c r="C13" s="44">
        <v>13</v>
      </c>
      <c r="D13" s="44">
        <v>3</v>
      </c>
      <c r="E13" s="45">
        <v>8</v>
      </c>
      <c r="F13" s="30">
        <v>13</v>
      </c>
      <c r="G13" s="13">
        <v>1800</v>
      </c>
      <c r="H13" s="6">
        <f t="shared" si="0"/>
        <v>23400</v>
      </c>
      <c r="I13" s="46"/>
    </row>
    <row r="14" spans="1:9" ht="15.75" customHeight="1" x14ac:dyDescent="0.2">
      <c r="A14" s="24">
        <f t="shared" si="1"/>
        <v>11</v>
      </c>
      <c r="B14" s="43" t="s">
        <v>11</v>
      </c>
      <c r="C14" s="44">
        <v>13</v>
      </c>
      <c r="D14" s="44">
        <v>2</v>
      </c>
      <c r="E14" s="45" t="s">
        <v>25</v>
      </c>
      <c r="F14" s="30">
        <v>14</v>
      </c>
      <c r="G14" s="13">
        <v>1500</v>
      </c>
      <c r="H14" s="6">
        <f t="shared" si="0"/>
        <v>21000</v>
      </c>
      <c r="I14" s="46"/>
    </row>
    <row r="15" spans="1:9" ht="15.75" customHeight="1" x14ac:dyDescent="0.2">
      <c r="A15" s="24">
        <f t="shared" si="1"/>
        <v>12</v>
      </c>
      <c r="B15" s="43" t="s">
        <v>11</v>
      </c>
      <c r="C15" s="44">
        <v>13</v>
      </c>
      <c r="D15" s="44">
        <v>3</v>
      </c>
      <c r="E15" s="45" t="s">
        <v>45</v>
      </c>
      <c r="F15" s="30">
        <v>16.3</v>
      </c>
      <c r="G15" s="13">
        <v>1800</v>
      </c>
      <c r="H15" s="6">
        <f t="shared" ref="H15:H19" si="2">F15*G15</f>
        <v>29340</v>
      </c>
      <c r="I15" s="46"/>
    </row>
    <row r="16" spans="1:9" ht="15.75" customHeight="1" x14ac:dyDescent="0.2">
      <c r="A16" s="24">
        <f t="shared" si="1"/>
        <v>13</v>
      </c>
      <c r="B16" s="43" t="s">
        <v>11</v>
      </c>
      <c r="C16" s="44">
        <v>13</v>
      </c>
      <c r="D16" s="42">
        <v>4</v>
      </c>
      <c r="E16" s="45" t="s">
        <v>59</v>
      </c>
      <c r="F16" s="30">
        <v>16.399999999999999</v>
      </c>
      <c r="G16" s="13">
        <v>1800</v>
      </c>
      <c r="H16" s="6">
        <f t="shared" si="2"/>
        <v>29519.999999999996</v>
      </c>
      <c r="I16" s="42"/>
    </row>
    <row r="17" spans="1:9" ht="15.75" customHeight="1" x14ac:dyDescent="0.2">
      <c r="A17" s="24">
        <f t="shared" si="1"/>
        <v>14</v>
      </c>
      <c r="B17" s="43" t="s">
        <v>11</v>
      </c>
      <c r="C17" s="44">
        <v>13</v>
      </c>
      <c r="D17" s="44">
        <v>3</v>
      </c>
      <c r="E17" s="45" t="s">
        <v>48</v>
      </c>
      <c r="F17" s="30">
        <v>16.600000000000001</v>
      </c>
      <c r="G17" s="13">
        <v>1800</v>
      </c>
      <c r="H17" s="6">
        <f t="shared" si="2"/>
        <v>29880.000000000004</v>
      </c>
      <c r="I17" s="46"/>
    </row>
    <row r="18" spans="1:9" ht="15.75" customHeight="1" x14ac:dyDescent="0.2">
      <c r="A18" s="24">
        <f t="shared" si="1"/>
        <v>15</v>
      </c>
      <c r="B18" s="43" t="s">
        <v>11</v>
      </c>
      <c r="C18" s="44">
        <v>13</v>
      </c>
      <c r="D18" s="44">
        <v>3</v>
      </c>
      <c r="E18" s="45" t="s">
        <v>45</v>
      </c>
      <c r="F18" s="30">
        <v>16.8</v>
      </c>
      <c r="G18" s="13">
        <v>1800</v>
      </c>
      <c r="H18" s="6">
        <f t="shared" si="2"/>
        <v>30240</v>
      </c>
      <c r="I18" s="46"/>
    </row>
    <row r="19" spans="1:9" ht="15.75" customHeight="1" x14ac:dyDescent="0.2">
      <c r="A19" s="24">
        <f t="shared" si="1"/>
        <v>16</v>
      </c>
      <c r="B19" s="43" t="s">
        <v>11</v>
      </c>
      <c r="C19" s="44">
        <v>13</v>
      </c>
      <c r="D19" s="44">
        <v>3</v>
      </c>
      <c r="E19" s="45" t="s">
        <v>31</v>
      </c>
      <c r="F19" s="30">
        <v>17.2</v>
      </c>
      <c r="G19" s="13">
        <v>1500</v>
      </c>
      <c r="H19" s="6">
        <f t="shared" si="2"/>
        <v>25800</v>
      </c>
      <c r="I19" s="46"/>
    </row>
    <row r="20" spans="1:9" ht="15.75" customHeight="1" x14ac:dyDescent="0.2">
      <c r="A20" s="24">
        <f t="shared" si="1"/>
        <v>17</v>
      </c>
      <c r="B20" s="43" t="s">
        <v>11</v>
      </c>
      <c r="C20" s="44">
        <v>13</v>
      </c>
      <c r="D20" s="44">
        <v>2</v>
      </c>
      <c r="E20" s="45" t="s">
        <v>24</v>
      </c>
      <c r="F20" s="30">
        <v>18.8</v>
      </c>
      <c r="G20" s="13">
        <v>1500</v>
      </c>
      <c r="H20" s="6">
        <f t="shared" si="0"/>
        <v>28200</v>
      </c>
      <c r="I20" s="46"/>
    </row>
    <row r="21" spans="1:9" ht="15.75" customHeight="1" x14ac:dyDescent="0.2">
      <c r="A21" s="24">
        <f t="shared" si="1"/>
        <v>18</v>
      </c>
      <c r="B21" s="43" t="s">
        <v>11</v>
      </c>
      <c r="C21" s="44">
        <v>3</v>
      </c>
      <c r="D21" s="44">
        <v>2</v>
      </c>
      <c r="E21" s="45">
        <v>22</v>
      </c>
      <c r="F21" s="30">
        <v>18.899999999999999</v>
      </c>
      <c r="G21" s="13">
        <v>1800</v>
      </c>
      <c r="H21" s="6">
        <f t="shared" si="0"/>
        <v>34020</v>
      </c>
      <c r="I21" s="42"/>
    </row>
    <row r="22" spans="1:9" ht="15.75" customHeight="1" x14ac:dyDescent="0.2">
      <c r="A22" s="24">
        <f t="shared" si="1"/>
        <v>19</v>
      </c>
      <c r="B22" s="43" t="s">
        <v>11</v>
      </c>
      <c r="C22" s="44">
        <v>13</v>
      </c>
      <c r="D22" s="44">
        <v>3</v>
      </c>
      <c r="E22" s="45" t="s">
        <v>57</v>
      </c>
      <c r="F22" s="30">
        <v>19.5</v>
      </c>
      <c r="G22" s="13">
        <v>1800</v>
      </c>
      <c r="H22" s="6">
        <f t="shared" si="0"/>
        <v>35100</v>
      </c>
      <c r="I22" s="46"/>
    </row>
    <row r="23" spans="1:9" ht="15.75" customHeight="1" x14ac:dyDescent="0.2">
      <c r="A23" s="24">
        <f t="shared" si="1"/>
        <v>20</v>
      </c>
      <c r="B23" s="43" t="s">
        <v>11</v>
      </c>
      <c r="C23" s="44">
        <v>1</v>
      </c>
      <c r="D23" s="44">
        <v>2</v>
      </c>
      <c r="E23" s="45" t="s">
        <v>43</v>
      </c>
      <c r="F23" s="30">
        <v>21.1</v>
      </c>
      <c r="G23" s="13">
        <v>1500</v>
      </c>
      <c r="H23" s="6">
        <f t="shared" si="0"/>
        <v>31650.000000000004</v>
      </c>
      <c r="I23" s="46"/>
    </row>
    <row r="24" spans="1:9" ht="15.75" customHeight="1" x14ac:dyDescent="0.2">
      <c r="A24" s="24">
        <f t="shared" si="1"/>
        <v>21</v>
      </c>
      <c r="B24" s="43" t="s">
        <v>11</v>
      </c>
      <c r="C24" s="44">
        <v>13</v>
      </c>
      <c r="D24" s="44">
        <v>3</v>
      </c>
      <c r="E24" s="45">
        <v>7</v>
      </c>
      <c r="F24" s="30">
        <v>22.3</v>
      </c>
      <c r="G24" s="13">
        <v>1800</v>
      </c>
      <c r="H24" s="6">
        <f t="shared" si="0"/>
        <v>40140</v>
      </c>
      <c r="I24" s="46"/>
    </row>
    <row r="25" spans="1:9" ht="15.75" customHeight="1" x14ac:dyDescent="0.2">
      <c r="A25" s="24">
        <f t="shared" si="1"/>
        <v>22</v>
      </c>
      <c r="B25" s="43" t="s">
        <v>11</v>
      </c>
      <c r="C25" s="44">
        <v>13</v>
      </c>
      <c r="D25" s="44">
        <v>2</v>
      </c>
      <c r="E25" s="45" t="s">
        <v>28</v>
      </c>
      <c r="F25" s="30">
        <v>23.4</v>
      </c>
      <c r="G25" s="13">
        <v>1800</v>
      </c>
      <c r="H25" s="6">
        <f t="shared" si="0"/>
        <v>42120</v>
      </c>
      <c r="I25" s="42"/>
    </row>
    <row r="26" spans="1:9" ht="15.75" customHeight="1" x14ac:dyDescent="0.2">
      <c r="A26" s="24">
        <f t="shared" si="1"/>
        <v>23</v>
      </c>
      <c r="B26" s="43" t="s">
        <v>11</v>
      </c>
      <c r="C26" s="44">
        <v>13</v>
      </c>
      <c r="D26" s="44">
        <v>2</v>
      </c>
      <c r="E26" s="45">
        <v>12</v>
      </c>
      <c r="F26" s="30">
        <v>23.5</v>
      </c>
      <c r="G26" s="13">
        <v>1800</v>
      </c>
      <c r="H26" s="6">
        <f t="shared" si="0"/>
        <v>42300</v>
      </c>
      <c r="I26" s="42"/>
    </row>
    <row r="27" spans="1:9" ht="15.75" customHeight="1" x14ac:dyDescent="0.2">
      <c r="A27" s="24">
        <f t="shared" si="1"/>
        <v>24</v>
      </c>
      <c r="B27" s="43" t="s">
        <v>11</v>
      </c>
      <c r="C27" s="44">
        <v>13</v>
      </c>
      <c r="D27" s="44">
        <v>2</v>
      </c>
      <c r="E27" s="45">
        <v>13</v>
      </c>
      <c r="F27" s="30">
        <v>23.9</v>
      </c>
      <c r="G27" s="13">
        <v>1800</v>
      </c>
      <c r="H27" s="6">
        <f t="shared" si="0"/>
        <v>43020</v>
      </c>
      <c r="I27" s="46"/>
    </row>
    <row r="28" spans="1:9" ht="15.75" customHeight="1" x14ac:dyDescent="0.2">
      <c r="A28" s="24">
        <f t="shared" si="1"/>
        <v>25</v>
      </c>
      <c r="B28" s="43" t="s">
        <v>11</v>
      </c>
      <c r="C28" s="44">
        <v>13</v>
      </c>
      <c r="D28" s="44">
        <v>4</v>
      </c>
      <c r="E28" s="45">
        <v>1</v>
      </c>
      <c r="F28" s="30">
        <v>24.4</v>
      </c>
      <c r="G28" s="13">
        <v>1800</v>
      </c>
      <c r="H28" s="6">
        <f t="shared" si="0"/>
        <v>43920</v>
      </c>
      <c r="I28" s="42"/>
    </row>
    <row r="29" spans="1:9" ht="15.75" customHeight="1" x14ac:dyDescent="0.2">
      <c r="A29" s="24">
        <f t="shared" si="1"/>
        <v>26</v>
      </c>
      <c r="B29" s="43" t="s">
        <v>11</v>
      </c>
      <c r="C29" s="44">
        <v>13</v>
      </c>
      <c r="D29" s="44">
        <v>2</v>
      </c>
      <c r="E29" s="45" t="s">
        <v>9</v>
      </c>
      <c r="F29" s="30">
        <v>25.1</v>
      </c>
      <c r="G29" s="13">
        <v>1500</v>
      </c>
      <c r="H29" s="6">
        <f t="shared" si="0"/>
        <v>37650</v>
      </c>
      <c r="I29" s="42"/>
    </row>
    <row r="30" spans="1:9" ht="15.75" customHeight="1" x14ac:dyDescent="0.2">
      <c r="A30" s="24">
        <f t="shared" si="1"/>
        <v>27</v>
      </c>
      <c r="B30" s="41" t="s">
        <v>11</v>
      </c>
      <c r="C30" s="42">
        <v>1</v>
      </c>
      <c r="D30" s="44">
        <v>2</v>
      </c>
      <c r="E30" s="45">
        <v>44</v>
      </c>
      <c r="F30" s="30">
        <v>25.6</v>
      </c>
      <c r="G30" s="13">
        <v>1600</v>
      </c>
      <c r="H30" s="6">
        <f t="shared" si="0"/>
        <v>40960</v>
      </c>
      <c r="I30" s="42"/>
    </row>
    <row r="31" spans="1:9" ht="15.75" customHeight="1" x14ac:dyDescent="0.2">
      <c r="A31" s="24">
        <f t="shared" si="1"/>
        <v>28</v>
      </c>
      <c r="B31" s="41" t="s">
        <v>11</v>
      </c>
      <c r="C31" s="42" t="s">
        <v>44</v>
      </c>
      <c r="D31" s="44">
        <v>1</v>
      </c>
      <c r="E31" s="45">
        <v>107.10899999999999</v>
      </c>
      <c r="F31" s="30">
        <v>26.2</v>
      </c>
      <c r="G31" s="13">
        <v>1500</v>
      </c>
      <c r="H31" s="6">
        <f t="shared" si="0"/>
        <v>39300</v>
      </c>
      <c r="I31" s="42"/>
    </row>
    <row r="32" spans="1:9" ht="15.75" customHeight="1" x14ac:dyDescent="0.2">
      <c r="A32" s="24">
        <f t="shared" si="1"/>
        <v>29</v>
      </c>
      <c r="B32" s="41" t="s">
        <v>11</v>
      </c>
      <c r="C32" s="42" t="s">
        <v>44</v>
      </c>
      <c r="D32" s="44">
        <v>2</v>
      </c>
      <c r="E32" s="45">
        <v>87</v>
      </c>
      <c r="F32" s="30">
        <v>27.6</v>
      </c>
      <c r="G32" s="13">
        <v>1600</v>
      </c>
      <c r="H32" s="6">
        <f t="shared" si="0"/>
        <v>44160</v>
      </c>
      <c r="I32" s="42"/>
    </row>
    <row r="33" spans="1:9" ht="15.75" customHeight="1" x14ac:dyDescent="0.2">
      <c r="A33" s="24">
        <f t="shared" si="1"/>
        <v>30</v>
      </c>
      <c r="B33" s="41" t="s">
        <v>11</v>
      </c>
      <c r="C33" s="42">
        <v>1</v>
      </c>
      <c r="D33" s="42">
        <v>1</v>
      </c>
      <c r="E33" s="42" t="s">
        <v>39</v>
      </c>
      <c r="F33" s="29">
        <v>31.5</v>
      </c>
      <c r="G33" s="13">
        <v>1500</v>
      </c>
      <c r="H33" s="6">
        <f>F33*G33</f>
        <v>47250</v>
      </c>
      <c r="I33" s="42"/>
    </row>
    <row r="34" spans="1:9" ht="15.75" customHeight="1" x14ac:dyDescent="0.2">
      <c r="A34" s="24">
        <f t="shared" si="1"/>
        <v>31</v>
      </c>
      <c r="B34" s="43" t="s">
        <v>11</v>
      </c>
      <c r="C34" s="44">
        <v>13</v>
      </c>
      <c r="D34" s="44">
        <v>3</v>
      </c>
      <c r="E34" s="42" t="s">
        <v>46</v>
      </c>
      <c r="F34" s="29">
        <v>32.9</v>
      </c>
      <c r="G34" s="13">
        <v>1800</v>
      </c>
      <c r="H34" s="6">
        <f>F34*G34</f>
        <v>59220</v>
      </c>
      <c r="I34" s="46"/>
    </row>
    <row r="35" spans="1:9" ht="15.75" customHeight="1" x14ac:dyDescent="0.2">
      <c r="A35" s="24">
        <f t="shared" si="1"/>
        <v>32</v>
      </c>
      <c r="B35" s="43" t="s">
        <v>11</v>
      </c>
      <c r="C35" s="42" t="s">
        <v>44</v>
      </c>
      <c r="D35" s="44">
        <v>1</v>
      </c>
      <c r="E35" s="42" t="s">
        <v>64</v>
      </c>
      <c r="F35" s="29">
        <v>39.9</v>
      </c>
      <c r="G35" s="13">
        <v>1500</v>
      </c>
      <c r="H35" s="6">
        <f>F35*G35</f>
        <v>59850</v>
      </c>
      <c r="I35" s="46"/>
    </row>
    <row r="36" spans="1:9" ht="15.75" customHeight="1" x14ac:dyDescent="0.2">
      <c r="A36" s="24">
        <f t="shared" si="1"/>
        <v>33</v>
      </c>
      <c r="B36" s="41" t="s">
        <v>11</v>
      </c>
      <c r="C36" s="42">
        <v>1</v>
      </c>
      <c r="D36" s="42" t="s">
        <v>34</v>
      </c>
      <c r="E36" s="42">
        <v>3</v>
      </c>
      <c r="F36" s="29">
        <v>42.4</v>
      </c>
      <c r="G36" s="13">
        <v>1500</v>
      </c>
      <c r="H36" s="6">
        <f t="shared" ref="H36:H50" si="3">F36*G36</f>
        <v>63600</v>
      </c>
      <c r="I36" s="42"/>
    </row>
    <row r="37" spans="1:9" ht="15.75" customHeight="1" x14ac:dyDescent="0.2">
      <c r="A37" s="24">
        <f t="shared" si="1"/>
        <v>34</v>
      </c>
      <c r="B37" s="41" t="s">
        <v>11</v>
      </c>
      <c r="C37" s="42">
        <v>13</v>
      </c>
      <c r="D37" s="42">
        <v>2</v>
      </c>
      <c r="E37" s="42" t="s">
        <v>42</v>
      </c>
      <c r="F37" s="29">
        <v>42.6</v>
      </c>
      <c r="G37" s="13">
        <v>1500</v>
      </c>
      <c r="H37" s="6">
        <f t="shared" si="3"/>
        <v>63900</v>
      </c>
      <c r="I37" s="42" t="s">
        <v>78</v>
      </c>
    </row>
    <row r="38" spans="1:9" ht="15.75" customHeight="1" x14ac:dyDescent="0.2">
      <c r="A38" s="24">
        <f t="shared" si="1"/>
        <v>35</v>
      </c>
      <c r="B38" s="41" t="s">
        <v>11</v>
      </c>
      <c r="C38" s="42">
        <v>1</v>
      </c>
      <c r="D38" s="42" t="s">
        <v>34</v>
      </c>
      <c r="E38" s="42" t="s">
        <v>61</v>
      </c>
      <c r="F38" s="29">
        <v>46.7</v>
      </c>
      <c r="G38" s="13">
        <v>1500</v>
      </c>
      <c r="H38" s="6">
        <f t="shared" si="3"/>
        <v>70050</v>
      </c>
      <c r="I38" s="42"/>
    </row>
    <row r="39" spans="1:9" ht="15.75" customHeight="1" x14ac:dyDescent="0.2">
      <c r="A39" s="24">
        <f t="shared" si="1"/>
        <v>36</v>
      </c>
      <c r="B39" s="41" t="s">
        <v>11</v>
      </c>
      <c r="C39" s="42">
        <v>13</v>
      </c>
      <c r="D39" s="42">
        <v>4</v>
      </c>
      <c r="E39" s="42">
        <v>2</v>
      </c>
      <c r="F39" s="29">
        <v>47.3</v>
      </c>
      <c r="G39" s="13">
        <v>1800</v>
      </c>
      <c r="H39" s="6">
        <f t="shared" si="3"/>
        <v>85140</v>
      </c>
      <c r="I39" s="42"/>
    </row>
    <row r="40" spans="1:9" ht="15.75" customHeight="1" x14ac:dyDescent="0.2">
      <c r="A40" s="24">
        <f t="shared" si="1"/>
        <v>37</v>
      </c>
      <c r="B40" s="41" t="s">
        <v>11</v>
      </c>
      <c r="C40" s="42">
        <v>13</v>
      </c>
      <c r="D40" s="44">
        <v>3</v>
      </c>
      <c r="E40" s="42" t="s">
        <v>33</v>
      </c>
      <c r="F40" s="29">
        <v>47.5</v>
      </c>
      <c r="G40" s="13">
        <v>1800</v>
      </c>
      <c r="H40" s="6">
        <f t="shared" si="3"/>
        <v>85500</v>
      </c>
      <c r="I40" s="42"/>
    </row>
    <row r="41" spans="1:9" ht="15.75" customHeight="1" x14ac:dyDescent="0.2">
      <c r="A41" s="24">
        <f t="shared" si="1"/>
        <v>38</v>
      </c>
      <c r="B41" s="41" t="s">
        <v>11</v>
      </c>
      <c r="C41" s="42">
        <v>1</v>
      </c>
      <c r="D41" s="44">
        <v>2</v>
      </c>
      <c r="E41" s="42">
        <v>5</v>
      </c>
      <c r="F41" s="29">
        <v>55.1</v>
      </c>
      <c r="G41" s="13">
        <v>1800</v>
      </c>
      <c r="H41" s="6">
        <f t="shared" ref="H41" si="4">F41*G41</f>
        <v>99180</v>
      </c>
      <c r="I41" s="42" t="s">
        <v>77</v>
      </c>
    </row>
    <row r="42" spans="1:9" ht="15.75" customHeight="1" x14ac:dyDescent="0.2">
      <c r="A42" s="24">
        <f t="shared" si="1"/>
        <v>39</v>
      </c>
      <c r="B42" s="41" t="s">
        <v>11</v>
      </c>
      <c r="C42" s="42">
        <v>1</v>
      </c>
      <c r="D42" s="44">
        <v>2</v>
      </c>
      <c r="E42" s="42">
        <v>156.15700000000001</v>
      </c>
      <c r="F42" s="29">
        <v>50.5</v>
      </c>
      <c r="G42" s="13">
        <v>1800</v>
      </c>
      <c r="H42" s="6">
        <f t="shared" si="3"/>
        <v>90900</v>
      </c>
      <c r="I42" s="42" t="s">
        <v>79</v>
      </c>
    </row>
    <row r="43" spans="1:9" ht="15.75" customHeight="1" x14ac:dyDescent="0.2">
      <c r="A43" s="24">
        <f t="shared" si="1"/>
        <v>40</v>
      </c>
      <c r="B43" s="41" t="s">
        <v>11</v>
      </c>
      <c r="C43" s="42" t="s">
        <v>44</v>
      </c>
      <c r="D43" s="44">
        <v>1</v>
      </c>
      <c r="E43" s="42" t="s">
        <v>53</v>
      </c>
      <c r="F43" s="29">
        <v>51.9</v>
      </c>
      <c r="G43" s="13">
        <v>1800</v>
      </c>
      <c r="H43" s="6">
        <f t="shared" si="3"/>
        <v>93420</v>
      </c>
      <c r="I43" s="42"/>
    </row>
    <row r="44" spans="1:9" ht="15.75" customHeight="1" x14ac:dyDescent="0.2">
      <c r="A44" s="24">
        <f t="shared" si="1"/>
        <v>41</v>
      </c>
      <c r="B44" s="41" t="s">
        <v>11</v>
      </c>
      <c r="C44" s="42">
        <v>13</v>
      </c>
      <c r="D44" s="44">
        <v>2</v>
      </c>
      <c r="E44" s="42" t="s">
        <v>8</v>
      </c>
      <c r="F44" s="29">
        <v>61.8</v>
      </c>
      <c r="G44" s="13">
        <v>1800</v>
      </c>
      <c r="H44" s="6">
        <f t="shared" si="3"/>
        <v>111240</v>
      </c>
      <c r="I44" s="42"/>
    </row>
    <row r="45" spans="1:9" ht="15.75" customHeight="1" x14ac:dyDescent="0.2">
      <c r="A45" s="24">
        <f t="shared" si="1"/>
        <v>42</v>
      </c>
      <c r="B45" s="41" t="s">
        <v>11</v>
      </c>
      <c r="C45" s="42" t="s">
        <v>44</v>
      </c>
      <c r="D45" s="44" t="s">
        <v>62</v>
      </c>
      <c r="E45" s="54" t="s">
        <v>27</v>
      </c>
      <c r="F45" s="29">
        <v>63.9</v>
      </c>
      <c r="G45" s="13">
        <v>1800</v>
      </c>
      <c r="H45" s="6">
        <f t="shared" si="3"/>
        <v>115020</v>
      </c>
      <c r="I45" s="42"/>
    </row>
    <row r="46" spans="1:9" ht="15.75" customHeight="1" x14ac:dyDescent="0.2">
      <c r="A46" s="24">
        <f t="shared" si="1"/>
        <v>43</v>
      </c>
      <c r="B46" s="43" t="s">
        <v>11</v>
      </c>
      <c r="C46" s="44">
        <v>13</v>
      </c>
      <c r="D46" s="44">
        <v>3</v>
      </c>
      <c r="E46" s="42">
        <v>11</v>
      </c>
      <c r="F46" s="29">
        <v>68.900000000000006</v>
      </c>
      <c r="G46" s="13">
        <v>1800</v>
      </c>
      <c r="H46" s="6">
        <f t="shared" si="3"/>
        <v>124020.00000000001</v>
      </c>
      <c r="I46" s="46"/>
    </row>
    <row r="47" spans="1:9" ht="15.75" customHeight="1" x14ac:dyDescent="0.2">
      <c r="A47" s="24">
        <f t="shared" si="1"/>
        <v>44</v>
      </c>
      <c r="B47" s="43" t="s">
        <v>11</v>
      </c>
      <c r="C47" s="44">
        <v>13</v>
      </c>
      <c r="D47" s="42">
        <v>4</v>
      </c>
      <c r="E47" s="42">
        <v>4.5</v>
      </c>
      <c r="F47" s="29">
        <v>78.599999999999994</v>
      </c>
      <c r="G47" s="13">
        <v>1800</v>
      </c>
      <c r="H47" s="6">
        <f t="shared" si="3"/>
        <v>141480</v>
      </c>
      <c r="I47" s="42"/>
    </row>
    <row r="48" spans="1:9" ht="15.75" customHeight="1" x14ac:dyDescent="0.2">
      <c r="A48" s="24">
        <f t="shared" si="1"/>
        <v>45</v>
      </c>
      <c r="B48" s="41" t="s">
        <v>11</v>
      </c>
      <c r="C48" s="42" t="s">
        <v>44</v>
      </c>
      <c r="D48" s="42" t="s">
        <v>34</v>
      </c>
      <c r="E48" s="42">
        <v>19</v>
      </c>
      <c r="F48" s="29">
        <v>93.4</v>
      </c>
      <c r="G48" s="13">
        <v>1800</v>
      </c>
      <c r="H48" s="6">
        <f>F48*G48</f>
        <v>168120</v>
      </c>
      <c r="I48" s="42"/>
    </row>
    <row r="49" spans="1:9" ht="15.75" customHeight="1" x14ac:dyDescent="0.2">
      <c r="A49" s="24">
        <f t="shared" si="1"/>
        <v>46</v>
      </c>
      <c r="B49" s="41" t="s">
        <v>11</v>
      </c>
      <c r="C49" s="42" t="s">
        <v>44</v>
      </c>
      <c r="D49" s="42" t="s">
        <v>34</v>
      </c>
      <c r="E49" s="42">
        <v>15</v>
      </c>
      <c r="F49" s="29">
        <v>96.4</v>
      </c>
      <c r="G49" s="13">
        <v>1800</v>
      </c>
      <c r="H49" s="6">
        <f t="shared" si="3"/>
        <v>173520</v>
      </c>
      <c r="I49" s="42"/>
    </row>
    <row r="50" spans="1:9" ht="15.75" customHeight="1" x14ac:dyDescent="0.2">
      <c r="A50" s="24">
        <f t="shared" si="1"/>
        <v>47</v>
      </c>
      <c r="B50" s="41" t="s">
        <v>11</v>
      </c>
      <c r="C50" s="42">
        <v>13</v>
      </c>
      <c r="D50" s="42">
        <v>4</v>
      </c>
      <c r="E50" s="42">
        <v>2</v>
      </c>
      <c r="F50" s="29">
        <v>102.7</v>
      </c>
      <c r="G50" s="13">
        <v>1800</v>
      </c>
      <c r="H50" s="6">
        <f t="shared" si="3"/>
        <v>184860</v>
      </c>
      <c r="I50" s="42"/>
    </row>
    <row r="51" spans="1:9" ht="15.75" customHeight="1" x14ac:dyDescent="0.2">
      <c r="A51" s="24">
        <f t="shared" si="1"/>
        <v>48</v>
      </c>
      <c r="B51" s="41" t="s">
        <v>11</v>
      </c>
      <c r="C51" s="42" t="s">
        <v>44</v>
      </c>
      <c r="D51" s="42" t="s">
        <v>49</v>
      </c>
      <c r="E51" s="42" t="s">
        <v>50</v>
      </c>
      <c r="F51" s="29">
        <v>114.6</v>
      </c>
      <c r="G51" s="13">
        <v>1600</v>
      </c>
      <c r="H51" s="6">
        <f>F51*G51</f>
        <v>183360</v>
      </c>
      <c r="I51" s="42"/>
    </row>
    <row r="52" spans="1:9" ht="15.75" customHeight="1" x14ac:dyDescent="0.2">
      <c r="A52" s="24">
        <f t="shared" si="1"/>
        <v>49</v>
      </c>
      <c r="B52" s="41" t="s">
        <v>11</v>
      </c>
      <c r="C52" s="42" t="s">
        <v>44</v>
      </c>
      <c r="D52" s="44">
        <v>1</v>
      </c>
      <c r="E52" s="49" t="s">
        <v>54</v>
      </c>
      <c r="F52" s="29">
        <v>445</v>
      </c>
      <c r="G52" s="13">
        <v>1800</v>
      </c>
      <c r="H52" s="6">
        <f>F52*G52</f>
        <v>801000</v>
      </c>
      <c r="I52" s="42"/>
    </row>
    <row r="53" spans="1:9" ht="15.75" customHeight="1" x14ac:dyDescent="0.2">
      <c r="A53" s="24">
        <f t="shared" si="1"/>
        <v>50</v>
      </c>
      <c r="B53" s="41" t="s">
        <v>11</v>
      </c>
      <c r="C53" s="42">
        <v>1</v>
      </c>
      <c r="D53" s="44">
        <v>3</v>
      </c>
      <c r="E53" s="49" t="s">
        <v>63</v>
      </c>
      <c r="F53" s="29">
        <v>786.5</v>
      </c>
      <c r="G53" s="13">
        <v>1800</v>
      </c>
      <c r="H53" s="6">
        <f>F53*G53</f>
        <v>1415700</v>
      </c>
      <c r="I53" s="42" t="s">
        <v>80</v>
      </c>
    </row>
    <row r="54" spans="1:9" ht="15.75" customHeight="1" x14ac:dyDescent="0.2">
      <c r="A54" s="19">
        <f>A53</f>
        <v>50</v>
      </c>
      <c r="B54" s="17"/>
      <c r="C54" s="18"/>
      <c r="D54" s="18"/>
      <c r="E54" s="18"/>
      <c r="F54" s="40">
        <f>SUM(F4:F53)</f>
        <v>2897.9</v>
      </c>
      <c r="G54" s="40"/>
      <c r="H54" s="40"/>
      <c r="I54" s="18"/>
    </row>
    <row r="56" spans="1:9" x14ac:dyDescent="0.2">
      <c r="B56" s="2"/>
      <c r="C56" s="2"/>
      <c r="D56" s="2"/>
      <c r="E56" s="2"/>
      <c r="F56" s="2"/>
      <c r="G56" s="2"/>
      <c r="H56" s="2"/>
    </row>
    <row r="58" spans="1:9" x14ac:dyDescent="0.2">
      <c r="F58" s="2"/>
      <c r="G58" s="2"/>
      <c r="H58" s="2"/>
      <c r="I58" s="2"/>
    </row>
  </sheetData>
  <autoFilter ref="A3:I54" xr:uid="{D223EEAA-1775-4853-A711-086FF3BFA445}"/>
  <mergeCells count="2">
    <mergeCell ref="E1:F1"/>
    <mergeCell ref="A2:I2"/>
  </mergeCells>
  <phoneticPr fontId="7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Склады</vt:lpstr>
      <vt:lpstr>Офисы</vt:lpstr>
      <vt:lpstr>Офисы!Область_печати</vt:lpstr>
      <vt:lpstr>Склады!Область_печати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Светлана Тимофеева</cp:lastModifiedBy>
  <cp:lastPrinted>2024-08-20T11:56:04Z</cp:lastPrinted>
  <dcterms:created xsi:type="dcterms:W3CDTF">2018-07-31T12:31:53Z</dcterms:created>
  <dcterms:modified xsi:type="dcterms:W3CDTF">2024-09-05T12:01:07Z</dcterms:modified>
</cp:coreProperties>
</file>